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LPASIG\Desktop\wings-theory\data\"/>
    </mc:Choice>
  </mc:AlternateContent>
  <xr:revisionPtr revIDLastSave="0" documentId="13_ncr:1_{B0E30B09-9959-4273-B85B-AD2821C432CF}" xr6:coauthVersionLast="47" xr6:coauthVersionMax="47" xr10:uidLastSave="{00000000-0000-0000-0000-000000000000}"/>
  <bookViews>
    <workbookView xWindow="-120" yWindow="-120" windowWidth="29040" windowHeight="16440" tabRatio="500" activeTab="3" xr2:uid="{00000000-000D-0000-FFFF-FFFF00000000}"/>
  </bookViews>
  <sheets>
    <sheet name="1. Menu Audit" sheetId="2" r:id="rId1"/>
    <sheet name="3. Standardized Recipes" sheetId="4" r:id="rId2"/>
    <sheet name="4. Master Ingredient Inventory" sheetId="5" r:id="rId3"/>
    <sheet name="6. Menu-to-Ingredient Mapping" sheetId="6" r:id="rId4"/>
    <sheet name="7. Ingredient &amp; Recipe Costing" sheetId="7" r:id="rId5"/>
  </sheets>
  <definedNames>
    <definedName name="_xlnm._FilterDatabase" localSheetId="0" hidden="1">'1. Menu Audit'!$A$1:$F$48</definedName>
    <definedName name="_xlnm._FilterDatabase" localSheetId="1" hidden="1">'3. Standardized Recipes'!$A$1:$F$48</definedName>
    <definedName name="_xlnm._FilterDatabase" localSheetId="2" hidden="1">'4. Master Ingredient Inventory'!$A$1:$N$109</definedName>
    <definedName name="_xlnm._FilterDatabase" localSheetId="3" hidden="1">'6. Menu-to-Ingredient Mapping'!$A$3:$J$482</definedName>
    <definedName name="_xlnm._FilterDatabase" localSheetId="4" hidden="1">'7. Ingredient &amp; Recipe Costing'!$A$1:$G$48</definedName>
    <definedName name="_xlnm.Print_Titles" localSheetId="0">'1. Menu Audit'!$1:$1</definedName>
    <definedName name="_xlnm.Print_Titles" localSheetId="1">'3. Standardized Recipes'!$1:$1</definedName>
    <definedName name="_xlnm.Print_Titles" localSheetId="2">'4. Master Ingredient Inventory'!$1:$1</definedName>
    <definedName name="_xlnm.Print_Titles" localSheetId="3">'6. Menu-to-Ingredient Mapping'!$3:$3</definedName>
    <definedName name="_xlnm.Print_Titles" localSheetId="4">'7. Ingredient &amp; Recipe Costing'!$1:$1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7" l="1"/>
  <c r="G49" i="7" s="1"/>
  <c r="D47" i="7"/>
  <c r="F47" i="7" s="1"/>
  <c r="D48" i="7"/>
  <c r="F48" i="7" s="1"/>
  <c r="D49" i="7"/>
  <c r="F49" i="7" s="1"/>
  <c r="I493" i="6"/>
  <c r="F493" i="6"/>
  <c r="F492" i="6"/>
  <c r="I492" i="6" s="1"/>
  <c r="I491" i="6"/>
  <c r="F491" i="6"/>
  <c r="I490" i="6"/>
  <c r="F490" i="6"/>
  <c r="D490" i="6"/>
  <c r="F489" i="6"/>
  <c r="I489" i="6" s="1"/>
  <c r="I488" i="6"/>
  <c r="F488" i="6"/>
  <c r="F487" i="6"/>
  <c r="F486" i="6"/>
  <c r="I486" i="6" s="1"/>
  <c r="I485" i="6"/>
  <c r="F485" i="6"/>
  <c r="I484" i="6"/>
  <c r="F484" i="6"/>
  <c r="F483" i="6"/>
  <c r="I482" i="6"/>
  <c r="F482" i="6"/>
  <c r="I481" i="6"/>
  <c r="F481" i="6"/>
  <c r="I480" i="6"/>
  <c r="F480" i="6"/>
  <c r="F479" i="6"/>
  <c r="F478" i="6"/>
  <c r="I478" i="6" s="1"/>
  <c r="I477" i="6"/>
  <c r="F477" i="6"/>
  <c r="F476" i="6"/>
  <c r="F475" i="6"/>
  <c r="I474" i="6"/>
  <c r="F474" i="6"/>
  <c r="I473" i="6"/>
  <c r="F473" i="6"/>
  <c r="I472" i="6"/>
  <c r="F472" i="6"/>
  <c r="F471" i="6"/>
  <c r="F470" i="6"/>
  <c r="I470" i="6" s="1"/>
  <c r="I469" i="6"/>
  <c r="F469" i="6"/>
  <c r="I468" i="6"/>
  <c r="F468" i="6"/>
  <c r="F467" i="6"/>
  <c r="D467" i="6"/>
  <c r="I467" i="6" s="1"/>
  <c r="I466" i="6"/>
  <c r="F466" i="6"/>
  <c r="F465" i="6"/>
  <c r="F464" i="6"/>
  <c r="I463" i="6"/>
  <c r="F463" i="6"/>
  <c r="F462" i="6"/>
  <c r="I462" i="6" s="1"/>
  <c r="I461" i="6"/>
  <c r="F461" i="6"/>
  <c r="F460" i="6"/>
  <c r="F459" i="6"/>
  <c r="I459" i="6" s="1"/>
  <c r="I458" i="6"/>
  <c r="F458" i="6"/>
  <c r="I457" i="6"/>
  <c r="F457" i="6"/>
  <c r="F456" i="6"/>
  <c r="D456" i="6"/>
  <c r="I456" i="6" s="1"/>
  <c r="I455" i="6"/>
  <c r="F455" i="6"/>
  <c r="I454" i="6"/>
  <c r="F454" i="6"/>
  <c r="F453" i="6"/>
  <c r="I452" i="6"/>
  <c r="F452" i="6"/>
  <c r="F451" i="6"/>
  <c r="I451" i="6" s="1"/>
  <c r="I450" i="6"/>
  <c r="F450" i="6"/>
  <c r="F449" i="6"/>
  <c r="F448" i="6"/>
  <c r="I448" i="6" s="1"/>
  <c r="I447" i="6"/>
  <c r="F447" i="6"/>
  <c r="F446" i="6"/>
  <c r="F445" i="6"/>
  <c r="I444" i="6"/>
  <c r="F444" i="6"/>
  <c r="D444" i="6"/>
  <c r="I443" i="6"/>
  <c r="F443" i="6"/>
  <c r="F442" i="6"/>
  <c r="I441" i="6"/>
  <c r="F441" i="6"/>
  <c r="F440" i="6"/>
  <c r="I440" i="6" s="1"/>
  <c r="I439" i="6"/>
  <c r="F439" i="6"/>
  <c r="F438" i="6"/>
  <c r="F437" i="6"/>
  <c r="I437" i="6" s="1"/>
  <c r="I436" i="6"/>
  <c r="F436" i="6"/>
  <c r="I435" i="6"/>
  <c r="F435" i="6"/>
  <c r="F434" i="6"/>
  <c r="I433" i="6"/>
  <c r="F433" i="6"/>
  <c r="F432" i="6"/>
  <c r="I432" i="6" s="1"/>
  <c r="I431" i="6"/>
  <c r="F431" i="6"/>
  <c r="F430" i="6"/>
  <c r="D429" i="6"/>
  <c r="F429" i="6" s="1"/>
  <c r="I428" i="6"/>
  <c r="F428" i="6"/>
  <c r="F427" i="6"/>
  <c r="F426" i="6"/>
  <c r="I426" i="6" s="1"/>
  <c r="I425" i="6"/>
  <c r="F425" i="6"/>
  <c r="I424" i="6"/>
  <c r="F424" i="6"/>
  <c r="F423" i="6"/>
  <c r="I422" i="6"/>
  <c r="F422" i="6"/>
  <c r="F421" i="6"/>
  <c r="I421" i="6" s="1"/>
  <c r="I420" i="6"/>
  <c r="F420" i="6"/>
  <c r="F419" i="6"/>
  <c r="F418" i="6"/>
  <c r="I418" i="6" s="1"/>
  <c r="I417" i="6"/>
  <c r="F417" i="6"/>
  <c r="F416" i="6"/>
  <c r="F415" i="6"/>
  <c r="I414" i="6"/>
  <c r="F414" i="6"/>
  <c r="F413" i="6"/>
  <c r="I413" i="6" s="1"/>
  <c r="I412" i="6"/>
  <c r="F412" i="6"/>
  <c r="F411" i="6"/>
  <c r="F410" i="6"/>
  <c r="I410" i="6" s="1"/>
  <c r="I409" i="6"/>
  <c r="F409" i="6"/>
  <c r="F408" i="6"/>
  <c r="F407" i="6"/>
  <c r="I406" i="6"/>
  <c r="F406" i="6"/>
  <c r="I405" i="6"/>
  <c r="F405" i="6"/>
  <c r="I404" i="6"/>
  <c r="F404" i="6"/>
  <c r="F403" i="6"/>
  <c r="F402" i="6"/>
  <c r="I402" i="6" s="1"/>
  <c r="I401" i="6"/>
  <c r="F401" i="6"/>
  <c r="I400" i="6"/>
  <c r="F400" i="6"/>
  <c r="F399" i="6"/>
  <c r="D399" i="6"/>
  <c r="I399" i="6" s="1"/>
  <c r="I398" i="6"/>
  <c r="F398" i="6"/>
  <c r="F397" i="6"/>
  <c r="F396" i="6"/>
  <c r="I395" i="6"/>
  <c r="F395" i="6"/>
  <c r="F394" i="6"/>
  <c r="I393" i="6"/>
  <c r="F393" i="6"/>
  <c r="F392" i="6"/>
  <c r="I392" i="6" s="1"/>
  <c r="F391" i="6"/>
  <c r="I391" i="6" s="1"/>
  <c r="I390" i="6"/>
  <c r="D390" i="6"/>
  <c r="F390" i="6" s="1"/>
  <c r="F389" i="6"/>
  <c r="F388" i="6"/>
  <c r="I388" i="6" s="1"/>
  <c r="I387" i="6"/>
  <c r="F387" i="6"/>
  <c r="I386" i="6"/>
  <c r="F386" i="6"/>
  <c r="F385" i="6"/>
  <c r="I384" i="6"/>
  <c r="F384" i="6"/>
  <c r="F383" i="6"/>
  <c r="I383" i="6" s="1"/>
  <c r="I382" i="6"/>
  <c r="F382" i="6"/>
  <c r="F381" i="6"/>
  <c r="F380" i="6"/>
  <c r="I380" i="6" s="1"/>
  <c r="I379" i="6"/>
  <c r="F379" i="6"/>
  <c r="I378" i="6"/>
  <c r="F378" i="6"/>
  <c r="F377" i="6"/>
  <c r="I376" i="6"/>
  <c r="F376" i="6"/>
  <c r="D376" i="6"/>
  <c r="F375" i="6"/>
  <c r="F374" i="6"/>
  <c r="I373" i="6"/>
  <c r="F373" i="6"/>
  <c r="I372" i="6"/>
  <c r="F372" i="6"/>
  <c r="F371" i="6"/>
  <c r="F370" i="6"/>
  <c r="F369" i="6"/>
  <c r="I369" i="6" s="1"/>
  <c r="I368" i="6"/>
  <c r="F368" i="6"/>
  <c r="I367" i="6"/>
  <c r="F367" i="6"/>
  <c r="F366" i="6"/>
  <c r="I365" i="6"/>
  <c r="F365" i="6"/>
  <c r="F364" i="6"/>
  <c r="I364" i="6" s="1"/>
  <c r="F363" i="6"/>
  <c r="F362" i="6"/>
  <c r="F361" i="6"/>
  <c r="I361" i="6" s="1"/>
  <c r="I360" i="6"/>
  <c r="F360" i="6"/>
  <c r="F359" i="6"/>
  <c r="F358" i="6"/>
  <c r="I357" i="6"/>
  <c r="F357" i="6"/>
  <c r="F356" i="6"/>
  <c r="F355" i="6"/>
  <c r="F354" i="6"/>
  <c r="F353" i="6"/>
  <c r="I353" i="6" s="1"/>
  <c r="I352" i="6"/>
  <c r="F352" i="6"/>
  <c r="I351" i="6"/>
  <c r="F351" i="6"/>
  <c r="F350" i="6"/>
  <c r="I349" i="6"/>
  <c r="F349" i="6"/>
  <c r="F348" i="6"/>
  <c r="I348" i="6" s="1"/>
  <c r="I347" i="6"/>
  <c r="F347" i="6"/>
  <c r="F346" i="6"/>
  <c r="F345" i="6"/>
  <c r="I345" i="6" s="1"/>
  <c r="I344" i="6"/>
  <c r="F344" i="6"/>
  <c r="F343" i="6"/>
  <c r="F342" i="6"/>
  <c r="I341" i="6"/>
  <c r="F341" i="6"/>
  <c r="I340" i="6"/>
  <c r="F340" i="6"/>
  <c r="F339" i="6"/>
  <c r="F338" i="6"/>
  <c r="F337" i="6"/>
  <c r="I337" i="6" s="1"/>
  <c r="I336" i="6"/>
  <c r="F336" i="6"/>
  <c r="I335" i="6"/>
  <c r="F335" i="6"/>
  <c r="F334" i="6"/>
  <c r="I333" i="6"/>
  <c r="F333" i="6"/>
  <c r="F332" i="6"/>
  <c r="I331" i="6"/>
  <c r="F331" i="6"/>
  <c r="F330" i="6"/>
  <c r="I329" i="6"/>
  <c r="F329" i="6"/>
  <c r="I328" i="6"/>
  <c r="F328" i="6"/>
  <c r="F327" i="6"/>
  <c r="F326" i="6"/>
  <c r="F325" i="6"/>
  <c r="I325" i="6" s="1"/>
  <c r="F324" i="6"/>
  <c r="F323" i="6"/>
  <c r="I323" i="6" s="1"/>
  <c r="F322" i="6"/>
  <c r="I321" i="6"/>
  <c r="F321" i="6"/>
  <c r="F320" i="6"/>
  <c r="I320" i="6" s="1"/>
  <c r="F319" i="6"/>
  <c r="F318" i="6"/>
  <c r="I318" i="6" s="1"/>
  <c r="I317" i="6"/>
  <c r="F317" i="6"/>
  <c r="I316" i="6"/>
  <c r="F316" i="6"/>
  <c r="I315" i="6"/>
  <c r="F315" i="6"/>
  <c r="F314" i="6"/>
  <c r="I313" i="6"/>
  <c r="F313" i="6"/>
  <c r="F312" i="6"/>
  <c r="I312" i="6" s="1"/>
  <c r="F311" i="6"/>
  <c r="F310" i="6"/>
  <c r="I309" i="6"/>
  <c r="F309" i="6"/>
  <c r="I308" i="6"/>
  <c r="F308" i="6"/>
  <c r="F307" i="6"/>
  <c r="F306" i="6"/>
  <c r="I305" i="6"/>
  <c r="F305" i="6"/>
  <c r="I304" i="6"/>
  <c r="F304" i="6"/>
  <c r="I303" i="6"/>
  <c r="F303" i="6"/>
  <c r="F302" i="6"/>
  <c r="I302" i="6" s="1"/>
  <c r="I301" i="6"/>
  <c r="F301" i="6"/>
  <c r="I300" i="6"/>
  <c r="F300" i="6"/>
  <c r="F299" i="6"/>
  <c r="F298" i="6"/>
  <c r="I297" i="6"/>
  <c r="F297" i="6"/>
  <c r="F296" i="6"/>
  <c r="I295" i="6"/>
  <c r="F295" i="6"/>
  <c r="F294" i="6"/>
  <c r="I294" i="6" s="1"/>
  <c r="I293" i="6"/>
  <c r="F293" i="6"/>
  <c r="I292" i="6"/>
  <c r="F292" i="6"/>
  <c r="I291" i="6"/>
  <c r="F291" i="6"/>
  <c r="F290" i="6"/>
  <c r="I289" i="6"/>
  <c r="F289" i="6"/>
  <c r="F288" i="6"/>
  <c r="F287" i="6"/>
  <c r="F286" i="6"/>
  <c r="I286" i="6" s="1"/>
  <c r="I285" i="6"/>
  <c r="F285" i="6"/>
  <c r="I284" i="6"/>
  <c r="F284" i="6"/>
  <c r="F283" i="6"/>
  <c r="F282" i="6"/>
  <c r="I281" i="6"/>
  <c r="F281" i="6"/>
  <c r="I280" i="6"/>
  <c r="F280" i="6"/>
  <c r="F279" i="6"/>
  <c r="F278" i="6"/>
  <c r="I277" i="6"/>
  <c r="F277" i="6"/>
  <c r="F276" i="6"/>
  <c r="I276" i="6" s="1"/>
  <c r="F275" i="6"/>
  <c r="F274" i="6"/>
  <c r="I273" i="6"/>
  <c r="F273" i="6"/>
  <c r="F272" i="6"/>
  <c r="I272" i="6" s="1"/>
  <c r="F271" i="6"/>
  <c r="F270" i="6"/>
  <c r="I269" i="6"/>
  <c r="F269" i="6"/>
  <c r="F268" i="6"/>
  <c r="I268" i="6" s="1"/>
  <c r="F267" i="6"/>
  <c r="F266" i="6"/>
  <c r="I266" i="6" s="1"/>
  <c r="F265" i="6"/>
  <c r="I264" i="6"/>
  <c r="F264" i="6"/>
  <c r="F263" i="6"/>
  <c r="I263" i="6" s="1"/>
  <c r="F262" i="6"/>
  <c r="I262" i="6" s="1"/>
  <c r="I261" i="6"/>
  <c r="F261" i="6"/>
  <c r="F260" i="6"/>
  <c r="F259" i="6"/>
  <c r="F258" i="6"/>
  <c r="F257" i="6"/>
  <c r="I257" i="6" s="1"/>
  <c r="F256" i="6"/>
  <c r="I256" i="6" s="1"/>
  <c r="I255" i="6"/>
  <c r="F255" i="6"/>
  <c r="I254" i="6"/>
  <c r="F254" i="6"/>
  <c r="F253" i="6"/>
  <c r="I252" i="6"/>
  <c r="F252" i="6"/>
  <c r="I251" i="6"/>
  <c r="F251" i="6"/>
  <c r="F250" i="6"/>
  <c r="F249" i="6"/>
  <c r="I249" i="6" s="1"/>
  <c r="F248" i="6"/>
  <c r="I248" i="6" s="1"/>
  <c r="I247" i="6"/>
  <c r="F247" i="6"/>
  <c r="I246" i="6"/>
  <c r="F246" i="6"/>
  <c r="F245" i="6"/>
  <c r="I244" i="6"/>
  <c r="F244" i="6"/>
  <c r="F243" i="6"/>
  <c r="F242" i="6"/>
  <c r="F241" i="6"/>
  <c r="I241" i="6" s="1"/>
  <c r="F240" i="6"/>
  <c r="I240" i="6" s="1"/>
  <c r="I239" i="6"/>
  <c r="F239" i="6"/>
  <c r="I238" i="6"/>
  <c r="F238" i="6"/>
  <c r="F237" i="6"/>
  <c r="I236" i="6"/>
  <c r="F236" i="6"/>
  <c r="I235" i="6"/>
  <c r="F235" i="6"/>
  <c r="F234" i="6"/>
  <c r="F233" i="6"/>
  <c r="I233" i="6" s="1"/>
  <c r="F232" i="6"/>
  <c r="I232" i="6" s="1"/>
  <c r="I231" i="6"/>
  <c r="F231" i="6"/>
  <c r="I230" i="6"/>
  <c r="F230" i="6"/>
  <c r="I229" i="6"/>
  <c r="F229" i="6"/>
  <c r="I228" i="6"/>
  <c r="F228" i="6"/>
  <c r="F227" i="6"/>
  <c r="I227" i="6" s="1"/>
  <c r="I226" i="6"/>
  <c r="F226" i="6"/>
  <c r="F225" i="6"/>
  <c r="I225" i="6" s="1"/>
  <c r="F224" i="6"/>
  <c r="I224" i="6" s="1"/>
  <c r="I223" i="6"/>
  <c r="F223" i="6"/>
  <c r="F222" i="6"/>
  <c r="F221" i="6"/>
  <c r="I220" i="6"/>
  <c r="F220" i="6"/>
  <c r="F219" i="6"/>
  <c r="F218" i="6"/>
  <c r="F217" i="6"/>
  <c r="I217" i="6" s="1"/>
  <c r="F216" i="6"/>
  <c r="I216" i="6" s="1"/>
  <c r="I215" i="6"/>
  <c r="F215" i="6"/>
  <c r="I214" i="6"/>
  <c r="F214" i="6"/>
  <c r="F213" i="6"/>
  <c r="I212" i="6"/>
  <c r="F212" i="6"/>
  <c r="F211" i="6"/>
  <c r="I211" i="6" s="1"/>
  <c r="I210" i="6"/>
  <c r="F210" i="6"/>
  <c r="F209" i="6"/>
  <c r="I209" i="6" s="1"/>
  <c r="F208" i="6"/>
  <c r="I208" i="6" s="1"/>
  <c r="I207" i="6"/>
  <c r="F207" i="6"/>
  <c r="I206" i="6"/>
  <c r="F206" i="6"/>
  <c r="F205" i="6"/>
  <c r="I204" i="6"/>
  <c r="F204" i="6"/>
  <c r="F203" i="6"/>
  <c r="I203" i="6" s="1"/>
  <c r="F202" i="6"/>
  <c r="F201" i="6"/>
  <c r="I201" i="6" s="1"/>
  <c r="F200" i="6"/>
  <c r="I200" i="6" s="1"/>
  <c r="I199" i="6"/>
  <c r="F199" i="6"/>
  <c r="I198" i="6"/>
  <c r="F198" i="6"/>
  <c r="F197" i="6"/>
  <c r="I196" i="6"/>
  <c r="F196" i="6"/>
  <c r="F195" i="6"/>
  <c r="I195" i="6" s="1"/>
  <c r="F194" i="6"/>
  <c r="F193" i="6"/>
  <c r="I193" i="6" s="1"/>
  <c r="I192" i="6"/>
  <c r="F192" i="6"/>
  <c r="I191" i="6"/>
  <c r="F191" i="6"/>
  <c r="D191" i="6"/>
  <c r="I190" i="6"/>
  <c r="F190" i="6"/>
  <c r="F189" i="6"/>
  <c r="I189" i="6" s="1"/>
  <c r="F188" i="6"/>
  <c r="F187" i="6"/>
  <c r="F186" i="6"/>
  <c r="I186" i="6" s="1"/>
  <c r="F185" i="6"/>
  <c r="I185" i="6" s="1"/>
  <c r="F184" i="6"/>
  <c r="I184" i="6" s="1"/>
  <c r="F183" i="6"/>
  <c r="I183" i="6" s="1"/>
  <c r="I182" i="6"/>
  <c r="G182" i="6"/>
  <c r="F182" i="6"/>
  <c r="I181" i="6"/>
  <c r="F181" i="6"/>
  <c r="F180" i="6"/>
  <c r="I179" i="6"/>
  <c r="F179" i="6"/>
  <c r="F178" i="6"/>
  <c r="I178" i="6" s="1"/>
  <c r="F177" i="6"/>
  <c r="F176" i="6"/>
  <c r="I176" i="6" s="1"/>
  <c r="D175" i="6"/>
  <c r="F174" i="6"/>
  <c r="I174" i="6" s="1"/>
  <c r="F173" i="6"/>
  <c r="I173" i="6" s="1"/>
  <c r="F172" i="6"/>
  <c r="I172" i="6" s="1"/>
  <c r="I171" i="6"/>
  <c r="F171" i="6"/>
  <c r="I170" i="6"/>
  <c r="F170" i="6"/>
  <c r="I169" i="6"/>
  <c r="G169" i="6"/>
  <c r="F169" i="6"/>
  <c r="F168" i="6"/>
  <c r="F167" i="6"/>
  <c r="F166" i="6"/>
  <c r="I166" i="6" s="1"/>
  <c r="F165" i="6"/>
  <c r="I165" i="6" s="1"/>
  <c r="G164" i="6"/>
  <c r="H164" i="6" s="1"/>
  <c r="F164" i="6"/>
  <c r="I164" i="6" s="1"/>
  <c r="I163" i="6"/>
  <c r="F163" i="6"/>
  <c r="I162" i="6"/>
  <c r="F162" i="6"/>
  <c r="I161" i="6"/>
  <c r="F161" i="6"/>
  <c r="I160" i="6"/>
  <c r="F160" i="6"/>
  <c r="F159" i="6"/>
  <c r="I159" i="6" s="1"/>
  <c r="F158" i="6"/>
  <c r="I158" i="6" s="1"/>
  <c r="D157" i="6"/>
  <c r="F156" i="6"/>
  <c r="I156" i="6" s="1"/>
  <c r="F155" i="6"/>
  <c r="I155" i="6" s="1"/>
  <c r="F154" i="6"/>
  <c r="I154" i="6" s="1"/>
  <c r="F153" i="6"/>
  <c r="I153" i="6" s="1"/>
  <c r="I152" i="6"/>
  <c r="F152" i="6"/>
  <c r="I151" i="6"/>
  <c r="F151" i="6"/>
  <c r="F150" i="6"/>
  <c r="I149" i="6"/>
  <c r="F149" i="6"/>
  <c r="I148" i="6"/>
  <c r="F148" i="6"/>
  <c r="F147" i="6"/>
  <c r="I147" i="6" s="1"/>
  <c r="F146" i="6"/>
  <c r="I146" i="6" s="1"/>
  <c r="G145" i="6"/>
  <c r="D145" i="6"/>
  <c r="F144" i="6"/>
  <c r="I144" i="6" s="1"/>
  <c r="F143" i="6"/>
  <c r="I143" i="6" s="1"/>
  <c r="F142" i="6"/>
  <c r="I142" i="6" s="1"/>
  <c r="I141" i="6"/>
  <c r="F141" i="6"/>
  <c r="I140" i="6"/>
  <c r="F140" i="6"/>
  <c r="I139" i="6"/>
  <c r="F139" i="6"/>
  <c r="F138" i="6"/>
  <c r="I138" i="6" s="1"/>
  <c r="I137" i="6"/>
  <c r="F137" i="6"/>
  <c r="F136" i="6"/>
  <c r="I136" i="6" s="1"/>
  <c r="F135" i="6"/>
  <c r="I135" i="6" s="1"/>
  <c r="F134" i="6"/>
  <c r="I134" i="6" s="1"/>
  <c r="I133" i="6"/>
  <c r="F133" i="6"/>
  <c r="D132" i="6"/>
  <c r="F132" i="6" s="1"/>
  <c r="F131" i="6"/>
  <c r="I131" i="6" s="1"/>
  <c r="I130" i="6"/>
  <c r="F130" i="6"/>
  <c r="I129" i="6"/>
  <c r="F129" i="6"/>
  <c r="I128" i="6"/>
  <c r="F128" i="6"/>
  <c r="I127" i="6"/>
  <c r="F127" i="6"/>
  <c r="F126" i="6"/>
  <c r="I126" i="6" s="1"/>
  <c r="F125" i="6"/>
  <c r="I125" i="6" s="1"/>
  <c r="F124" i="6"/>
  <c r="I124" i="6" s="1"/>
  <c r="F123" i="6"/>
  <c r="I123" i="6" s="1"/>
  <c r="I122" i="6"/>
  <c r="F122" i="6"/>
  <c r="I121" i="6"/>
  <c r="F121" i="6"/>
  <c r="I120" i="6"/>
  <c r="F120" i="6"/>
  <c r="I119" i="6"/>
  <c r="F119" i="6"/>
  <c r="I118" i="6"/>
  <c r="F118" i="6"/>
  <c r="F117" i="6"/>
  <c r="I117" i="6" s="1"/>
  <c r="D116" i="6"/>
  <c r="F115" i="6"/>
  <c r="F114" i="6"/>
  <c r="I114" i="6" s="1"/>
  <c r="F113" i="6"/>
  <c r="I113" i="6" s="1"/>
  <c r="F112" i="6"/>
  <c r="I112" i="6" s="1"/>
  <c r="I111" i="6"/>
  <c r="F111" i="6"/>
  <c r="I110" i="6"/>
  <c r="F110" i="6"/>
  <c r="F109" i="6"/>
  <c r="I108" i="6"/>
  <c r="F108" i="6"/>
  <c r="I107" i="6"/>
  <c r="F107" i="6"/>
  <c r="F106" i="6"/>
  <c r="I106" i="6" s="1"/>
  <c r="F105" i="6"/>
  <c r="I105" i="6" s="1"/>
  <c r="F104" i="6"/>
  <c r="I104" i="6" s="1"/>
  <c r="I103" i="6"/>
  <c r="F103" i="6"/>
  <c r="I102" i="6"/>
  <c r="F102" i="6"/>
  <c r="I101" i="6"/>
  <c r="F101" i="6"/>
  <c r="F100" i="6"/>
  <c r="D100" i="6"/>
  <c r="I99" i="6"/>
  <c r="F99" i="6"/>
  <c r="F98" i="6"/>
  <c r="I97" i="6"/>
  <c r="F97" i="6"/>
  <c r="F96" i="6"/>
  <c r="I96" i="6" s="1"/>
  <c r="I95" i="6"/>
  <c r="F95" i="6"/>
  <c r="F94" i="6"/>
  <c r="I94" i="6" s="1"/>
  <c r="F93" i="6"/>
  <c r="I93" i="6" s="1"/>
  <c r="I92" i="6"/>
  <c r="F92" i="6"/>
  <c r="I91" i="6"/>
  <c r="G91" i="6"/>
  <c r="F91" i="6"/>
  <c r="I90" i="6"/>
  <c r="F90" i="6"/>
  <c r="I89" i="6"/>
  <c r="F89" i="6"/>
  <c r="I88" i="6"/>
  <c r="F88" i="6"/>
  <c r="I87" i="6"/>
  <c r="F87" i="6"/>
  <c r="D87" i="6"/>
  <c r="F86" i="6"/>
  <c r="I85" i="6"/>
  <c r="F85" i="6"/>
  <c r="F84" i="6"/>
  <c r="I84" i="6" s="1"/>
  <c r="I83" i="6"/>
  <c r="F83" i="6"/>
  <c r="F82" i="6"/>
  <c r="I82" i="6" s="1"/>
  <c r="I81" i="6"/>
  <c r="F81" i="6"/>
  <c r="I80" i="6"/>
  <c r="F80" i="6"/>
  <c r="F79" i="6"/>
  <c r="I78" i="6"/>
  <c r="F78" i="6"/>
  <c r="F77" i="6"/>
  <c r="I76" i="6"/>
  <c r="F76" i="6"/>
  <c r="F75" i="6"/>
  <c r="I75" i="6" s="1"/>
  <c r="F74" i="6"/>
  <c r="I74" i="6" s="1"/>
  <c r="I73" i="6"/>
  <c r="G73" i="6"/>
  <c r="H73" i="6" s="1"/>
  <c r="D73" i="6"/>
  <c r="F73" i="6" s="1"/>
  <c r="F72" i="6"/>
  <c r="F71" i="6"/>
  <c r="I71" i="6" s="1"/>
  <c r="I70" i="6"/>
  <c r="F70" i="6"/>
  <c r="I69" i="6"/>
  <c r="F69" i="6"/>
  <c r="I68" i="6"/>
  <c r="G68" i="6"/>
  <c r="F68" i="6"/>
  <c r="I67" i="6"/>
  <c r="F67" i="6"/>
  <c r="I66" i="6"/>
  <c r="F66" i="6"/>
  <c r="D65" i="6"/>
  <c r="I64" i="6"/>
  <c r="F64" i="6"/>
  <c r="F63" i="6"/>
  <c r="I63" i="6" s="1"/>
  <c r="I62" i="6"/>
  <c r="F62" i="6"/>
  <c r="I61" i="6"/>
  <c r="F61" i="6"/>
  <c r="F60" i="6"/>
  <c r="I59" i="6"/>
  <c r="F59" i="6"/>
  <c r="I58" i="6"/>
  <c r="F58" i="6"/>
  <c r="F57" i="6"/>
  <c r="I56" i="6"/>
  <c r="F56" i="6"/>
  <c r="F55" i="6"/>
  <c r="I55" i="6" s="1"/>
  <c r="I54" i="6"/>
  <c r="F54" i="6"/>
  <c r="I53" i="6"/>
  <c r="F53" i="6"/>
  <c r="G52" i="6"/>
  <c r="F52" i="6"/>
  <c r="I51" i="6"/>
  <c r="F51" i="6"/>
  <c r="F50" i="6"/>
  <c r="D50" i="6"/>
  <c r="F49" i="6"/>
  <c r="I48" i="6"/>
  <c r="F48" i="6"/>
  <c r="F47" i="6"/>
  <c r="I47" i="6" s="1"/>
  <c r="F46" i="6"/>
  <c r="I45" i="6"/>
  <c r="F45" i="6"/>
  <c r="F44" i="6"/>
  <c r="I44" i="6" s="1"/>
  <c r="I43" i="6"/>
  <c r="F43" i="6"/>
  <c r="I42" i="6"/>
  <c r="F42" i="6"/>
  <c r="G41" i="6"/>
  <c r="F41" i="6"/>
  <c r="I40" i="6"/>
  <c r="F40" i="6"/>
  <c r="I39" i="6"/>
  <c r="F39" i="6"/>
  <c r="F38" i="6"/>
  <c r="I37" i="6"/>
  <c r="F37" i="6"/>
  <c r="F36" i="6"/>
  <c r="I36" i="6" s="1"/>
  <c r="I35" i="6"/>
  <c r="D35" i="6"/>
  <c r="F35" i="6" s="1"/>
  <c r="I34" i="6"/>
  <c r="F34" i="6"/>
  <c r="G33" i="6"/>
  <c r="H33" i="6" s="1"/>
  <c r="F33" i="6"/>
  <c r="I33" i="6" s="1"/>
  <c r="I32" i="6"/>
  <c r="F32" i="6"/>
  <c r="I31" i="6"/>
  <c r="F31" i="6"/>
  <c r="F30" i="6"/>
  <c r="I29" i="6"/>
  <c r="F29" i="6"/>
  <c r="F28" i="6"/>
  <c r="F27" i="6"/>
  <c r="I26" i="6"/>
  <c r="F26" i="6"/>
  <c r="F25" i="6"/>
  <c r="I25" i="6" s="1"/>
  <c r="I24" i="6"/>
  <c r="F24" i="6"/>
  <c r="F23" i="6"/>
  <c r="I23" i="6" s="1"/>
  <c r="G22" i="6"/>
  <c r="D22" i="6"/>
  <c r="F21" i="6"/>
  <c r="G20" i="6"/>
  <c r="F20" i="6"/>
  <c r="H20" i="6" s="1"/>
  <c r="F19" i="6"/>
  <c r="I19" i="6" s="1"/>
  <c r="F18" i="6"/>
  <c r="I18" i="6" s="1"/>
  <c r="F17" i="6"/>
  <c r="I17" i="6" s="1"/>
  <c r="G16" i="6"/>
  <c r="J16" i="6" s="1"/>
  <c r="F16" i="6"/>
  <c r="I16" i="6" s="1"/>
  <c r="I15" i="6"/>
  <c r="F15" i="6"/>
  <c r="F14" i="6"/>
  <c r="F13" i="6"/>
  <c r="F12" i="6"/>
  <c r="I12" i="6" s="1"/>
  <c r="D11" i="6"/>
  <c r="F11" i="6" s="1"/>
  <c r="G10" i="6"/>
  <c r="F10" i="6"/>
  <c r="F9" i="6"/>
  <c r="I9" i="6" s="1"/>
  <c r="I8" i="6"/>
  <c r="F8" i="6"/>
  <c r="F7" i="6"/>
  <c r="I7" i="6" s="1"/>
  <c r="G6" i="6"/>
  <c r="H6" i="6" s="1"/>
  <c r="F6" i="6"/>
  <c r="I6" i="6" s="1"/>
  <c r="J6" i="6" s="1"/>
  <c r="I5" i="6"/>
  <c r="J5" i="6" s="1"/>
  <c r="G5" i="6"/>
  <c r="H5" i="6" s="1"/>
  <c r="F5" i="6"/>
  <c r="I4" i="6"/>
  <c r="F4" i="6"/>
  <c r="I109" i="5"/>
  <c r="G421" i="6" s="1"/>
  <c r="H421" i="6" s="1"/>
  <c r="I108" i="5"/>
  <c r="I107" i="5"/>
  <c r="I106" i="5"/>
  <c r="I105" i="5"/>
  <c r="G299" i="6" s="1"/>
  <c r="I104" i="5"/>
  <c r="G391" i="6" s="1"/>
  <c r="H391" i="6" s="1"/>
  <c r="I103" i="5"/>
  <c r="I102" i="5"/>
  <c r="I101" i="5"/>
  <c r="G200" i="6" s="1"/>
  <c r="I100" i="5"/>
  <c r="G283" i="6" s="1"/>
  <c r="I99" i="5"/>
  <c r="G303" i="6" s="1"/>
  <c r="I98" i="5"/>
  <c r="G307" i="6" s="1"/>
  <c r="I97" i="5"/>
  <c r="G133" i="6" s="1"/>
  <c r="I96" i="5"/>
  <c r="G418" i="6" s="1"/>
  <c r="H418" i="6" s="1"/>
  <c r="I95" i="5"/>
  <c r="I94" i="5"/>
  <c r="G351" i="6" s="1"/>
  <c r="J351" i="6" s="1"/>
  <c r="I93" i="5"/>
  <c r="I92" i="5"/>
  <c r="I91" i="5"/>
  <c r="I90" i="5"/>
  <c r="G36" i="6" s="1"/>
  <c r="I89" i="5"/>
  <c r="G47" i="6" s="1"/>
  <c r="H47" i="6" s="1"/>
  <c r="I88" i="5"/>
  <c r="G420" i="6" s="1"/>
  <c r="I87" i="5"/>
  <c r="G470" i="6" s="1"/>
  <c r="H470" i="6" s="1"/>
  <c r="I86" i="5"/>
  <c r="G234" i="6" s="1"/>
  <c r="I85" i="5"/>
  <c r="G256" i="6" s="1"/>
  <c r="H256" i="6" s="1"/>
  <c r="I83" i="5"/>
  <c r="G148" i="6" s="1"/>
  <c r="I82" i="5"/>
  <c r="G338" i="6" s="1"/>
  <c r="I81" i="5"/>
  <c r="I80" i="5"/>
  <c r="G479" i="6" s="1"/>
  <c r="I79" i="5"/>
  <c r="G306" i="6" s="1"/>
  <c r="I78" i="5"/>
  <c r="G401" i="6" s="1"/>
  <c r="H401" i="6" s="1"/>
  <c r="I77" i="5"/>
  <c r="G206" i="6" s="1"/>
  <c r="I76" i="5"/>
  <c r="I75" i="5"/>
  <c r="I74" i="5"/>
  <c r="I73" i="5"/>
  <c r="G279" i="6" s="1"/>
  <c r="I72" i="5"/>
  <c r="I71" i="5"/>
  <c r="G159" i="6" s="1"/>
  <c r="I70" i="5"/>
  <c r="G158" i="6" s="1"/>
  <c r="H158" i="6" s="1"/>
  <c r="I69" i="5"/>
  <c r="G433" i="6" s="1"/>
  <c r="H433" i="6" s="1"/>
  <c r="I68" i="5"/>
  <c r="I67" i="5"/>
  <c r="G211" i="6" s="1"/>
  <c r="H211" i="6" s="1"/>
  <c r="I66" i="5"/>
  <c r="G291" i="6" s="1"/>
  <c r="I65" i="5"/>
  <c r="I64" i="5"/>
  <c r="G267" i="6" s="1"/>
  <c r="I63" i="5"/>
  <c r="I62" i="5"/>
  <c r="G147" i="6" s="1"/>
  <c r="H147" i="6" s="1"/>
  <c r="I61" i="5"/>
  <c r="I60" i="5"/>
  <c r="G23" i="6" s="1"/>
  <c r="H23" i="6" s="1"/>
  <c r="I59" i="5"/>
  <c r="G204" i="6" s="1"/>
  <c r="I58" i="5"/>
  <c r="G294" i="6" s="1"/>
  <c r="H294" i="6" s="1"/>
  <c r="I57" i="5"/>
  <c r="I56" i="5"/>
  <c r="I55" i="5"/>
  <c r="G74" i="6" s="1"/>
  <c r="I54" i="5"/>
  <c r="G239" i="6" s="1"/>
  <c r="H239" i="6" s="1"/>
  <c r="I53" i="5"/>
  <c r="I52" i="5"/>
  <c r="G215" i="6" s="1"/>
  <c r="H215" i="6" s="1"/>
  <c r="I51" i="5"/>
  <c r="I50" i="5"/>
  <c r="G326" i="6" s="1"/>
  <c r="I49" i="5"/>
  <c r="G12" i="6" s="1"/>
  <c r="H12" i="6" s="1"/>
  <c r="I48" i="5"/>
  <c r="I47" i="5"/>
  <c r="G24" i="6" s="1"/>
  <c r="I46" i="5"/>
  <c r="I45" i="5"/>
  <c r="G290" i="6" s="1"/>
  <c r="I44" i="5"/>
  <c r="I43" i="5"/>
  <c r="G131" i="6" s="1"/>
  <c r="H131" i="6" s="1"/>
  <c r="I42" i="5"/>
  <c r="G55" i="6" s="1"/>
  <c r="H55" i="6" s="1"/>
  <c r="I41" i="5"/>
  <c r="I40" i="5"/>
  <c r="I39" i="5"/>
  <c r="I38" i="5"/>
  <c r="G298" i="6" s="1"/>
  <c r="I37" i="5"/>
  <c r="I36" i="5"/>
  <c r="G39" i="6" s="1"/>
  <c r="I35" i="5"/>
  <c r="G241" i="6" s="1"/>
  <c r="H241" i="6" s="1"/>
  <c r="I34" i="5"/>
  <c r="I33" i="5"/>
  <c r="G42" i="6" s="1"/>
  <c r="H42" i="6" s="1"/>
  <c r="I32" i="5"/>
  <c r="I31" i="5"/>
  <c r="G240" i="6" s="1"/>
  <c r="H240" i="6" s="1"/>
  <c r="I30" i="5"/>
  <c r="I29" i="5"/>
  <c r="G178" i="6" s="1"/>
  <c r="H178" i="6" s="1"/>
  <c r="I28" i="5"/>
  <c r="G50" i="6" s="1"/>
  <c r="I27" i="5"/>
  <c r="I26" i="5"/>
  <c r="G419" i="6" s="1"/>
  <c r="I25" i="5"/>
  <c r="G295" i="6" s="1"/>
  <c r="J295" i="6" s="1"/>
  <c r="I24" i="5"/>
  <c r="I23" i="5"/>
  <c r="I22" i="5"/>
  <c r="I21" i="5"/>
  <c r="G269" i="6" s="1"/>
  <c r="H269" i="6" s="1"/>
  <c r="I20" i="5"/>
  <c r="I19" i="5"/>
  <c r="G146" i="6" s="1"/>
  <c r="I18" i="5"/>
  <c r="I17" i="5"/>
  <c r="G205" i="6" s="1"/>
  <c r="I16" i="5"/>
  <c r="I15" i="5"/>
  <c r="G282" i="6" s="1"/>
  <c r="I14" i="5"/>
  <c r="I13" i="5"/>
  <c r="I12" i="5"/>
  <c r="G389" i="6" s="1"/>
  <c r="I11" i="5"/>
  <c r="G478" i="6" s="1"/>
  <c r="H478" i="6" s="1"/>
  <c r="I10" i="5"/>
  <c r="G406" i="6" s="1"/>
  <c r="H406" i="6" s="1"/>
  <c r="I9" i="5"/>
  <c r="G63" i="6" s="1"/>
  <c r="I8" i="5"/>
  <c r="G309" i="6" s="1"/>
  <c r="H309" i="6" s="1"/>
  <c r="I7" i="5"/>
  <c r="G474" i="6" s="1"/>
  <c r="H474" i="6" s="1"/>
  <c r="I6" i="5"/>
  <c r="G316" i="6" s="1"/>
  <c r="H316" i="6" s="1"/>
  <c r="I5" i="5"/>
  <c r="I4" i="5"/>
  <c r="I3" i="5"/>
  <c r="G151" i="6" s="1"/>
  <c r="I2" i="5"/>
  <c r="E48" i="7"/>
  <c r="G48" i="7" s="1"/>
  <c r="E47" i="7"/>
  <c r="G47" i="7" s="1"/>
  <c r="E46" i="7"/>
  <c r="G46" i="7" s="1"/>
  <c r="D46" i="7"/>
  <c r="F46" i="7" s="1"/>
  <c r="D38" i="7"/>
  <c r="F38" i="7" s="1"/>
  <c r="D35" i="7"/>
  <c r="F35" i="7" s="1"/>
  <c r="J24" i="6" l="1"/>
  <c r="H10" i="6"/>
  <c r="H148" i="6"/>
  <c r="J164" i="6"/>
  <c r="H24" i="6"/>
  <c r="J148" i="6"/>
  <c r="H14" i="6"/>
  <c r="H50" i="6"/>
  <c r="H133" i="6"/>
  <c r="J133" i="6"/>
  <c r="J47" i="6"/>
  <c r="J23" i="6"/>
  <c r="J42" i="6"/>
  <c r="J12" i="6"/>
  <c r="H39" i="6"/>
  <c r="G394" i="6"/>
  <c r="G384" i="6"/>
  <c r="H384" i="6" s="1"/>
  <c r="G96" i="6"/>
  <c r="G187" i="6"/>
  <c r="G171" i="6"/>
  <c r="G128" i="6"/>
  <c r="J128" i="6" s="1"/>
  <c r="G61" i="6"/>
  <c r="H61" i="6" s="1"/>
  <c r="G83" i="6"/>
  <c r="G69" i="6"/>
  <c r="G18" i="6"/>
  <c r="J18" i="6" s="1"/>
  <c r="G141" i="6"/>
  <c r="G46" i="6"/>
  <c r="G312" i="6"/>
  <c r="H312" i="6" s="1"/>
  <c r="G296" i="6"/>
  <c r="G248" i="6"/>
  <c r="H248" i="6" s="1"/>
  <c r="G119" i="6"/>
  <c r="G161" i="6"/>
  <c r="G103" i="6"/>
  <c r="G260" i="6"/>
  <c r="G196" i="6"/>
  <c r="G214" i="6"/>
  <c r="J214" i="6" s="1"/>
  <c r="G284" i="6"/>
  <c r="G231" i="6"/>
  <c r="H231" i="6" s="1"/>
  <c r="G177" i="6"/>
  <c r="H177" i="6" s="1"/>
  <c r="G400" i="6"/>
  <c r="G430" i="6"/>
  <c r="H430" i="6" s="1"/>
  <c r="G411" i="6"/>
  <c r="H206" i="6"/>
  <c r="J206" i="6"/>
  <c r="G242" i="6"/>
  <c r="G124" i="6"/>
  <c r="G183" i="6"/>
  <c r="H183" i="6" s="1"/>
  <c r="G79" i="6"/>
  <c r="G247" i="6"/>
  <c r="H247" i="6" s="1"/>
  <c r="G285" i="6"/>
  <c r="H285" i="6" s="1"/>
  <c r="I14" i="6"/>
  <c r="I28" i="6"/>
  <c r="J28" i="6" s="1"/>
  <c r="G31" i="6"/>
  <c r="H31" i="6" s="1"/>
  <c r="I50" i="6"/>
  <c r="J50" i="6" s="1"/>
  <c r="F65" i="6"/>
  <c r="G77" i="6"/>
  <c r="J96" i="6"/>
  <c r="I177" i="6"/>
  <c r="J177" i="6" s="1"/>
  <c r="G212" i="6"/>
  <c r="H212" i="6" s="1"/>
  <c r="G262" i="6"/>
  <c r="G251" i="6"/>
  <c r="H251" i="6" s="1"/>
  <c r="G195" i="6"/>
  <c r="J195" i="6" s="1"/>
  <c r="G220" i="6"/>
  <c r="H220" i="6" s="1"/>
  <c r="G135" i="6"/>
  <c r="H135" i="6" s="1"/>
  <c r="G37" i="6"/>
  <c r="G197" i="6"/>
  <c r="G88" i="6"/>
  <c r="H88" i="6" s="1"/>
  <c r="G54" i="6"/>
  <c r="J54" i="6" s="1"/>
  <c r="G483" i="6"/>
  <c r="G460" i="6"/>
  <c r="G422" i="6"/>
  <c r="H422" i="6" s="1"/>
  <c r="G449" i="6"/>
  <c r="G223" i="6"/>
  <c r="H223" i="6" s="1"/>
  <c r="G437" i="6"/>
  <c r="H437" i="6" s="1"/>
  <c r="G184" i="6"/>
  <c r="H184" i="6" s="1"/>
  <c r="G168" i="6"/>
  <c r="G138" i="6"/>
  <c r="J138" i="6" s="1"/>
  <c r="G125" i="6"/>
  <c r="H125" i="6" s="1"/>
  <c r="G80" i="6"/>
  <c r="G150" i="6"/>
  <c r="G43" i="6"/>
  <c r="J43" i="6" s="1"/>
  <c r="G109" i="6"/>
  <c r="G462" i="6"/>
  <c r="H462" i="6" s="1"/>
  <c r="G451" i="6"/>
  <c r="H451" i="6" s="1"/>
  <c r="G383" i="6"/>
  <c r="H383" i="6" s="1"/>
  <c r="G424" i="6"/>
  <c r="G485" i="6"/>
  <c r="H485" i="6" s="1"/>
  <c r="G439" i="6"/>
  <c r="J439" i="6" s="1"/>
  <c r="G393" i="6"/>
  <c r="J393" i="6" s="1"/>
  <c r="G225" i="6"/>
  <c r="H225" i="6" s="1"/>
  <c r="G186" i="6"/>
  <c r="J186" i="6" s="1"/>
  <c r="G165" i="6"/>
  <c r="H165" i="6" s="1"/>
  <c r="G127" i="6"/>
  <c r="G302" i="6"/>
  <c r="H302" i="6" s="1"/>
  <c r="G95" i="6"/>
  <c r="H95" i="6" s="1"/>
  <c r="G140" i="6"/>
  <c r="J140" i="6" s="1"/>
  <c r="G56" i="6"/>
  <c r="H56" i="6" s="1"/>
  <c r="G45" i="6"/>
  <c r="H45" i="6" s="1"/>
  <c r="G152" i="6"/>
  <c r="G122" i="6"/>
  <c r="G170" i="6"/>
  <c r="J170" i="6" s="1"/>
  <c r="G111" i="6"/>
  <c r="G230" i="6"/>
  <c r="H230" i="6" s="1"/>
  <c r="G176" i="6"/>
  <c r="G346" i="6"/>
  <c r="G287" i="6"/>
  <c r="H287" i="6" s="1"/>
  <c r="G310" i="6"/>
  <c r="H310" i="6" s="1"/>
  <c r="G333" i="6"/>
  <c r="H333" i="6" s="1"/>
  <c r="G358" i="6"/>
  <c r="G245" i="6"/>
  <c r="G179" i="6"/>
  <c r="G160" i="6"/>
  <c r="G370" i="6"/>
  <c r="G117" i="6"/>
  <c r="H117" i="6" s="1"/>
  <c r="G232" i="6"/>
  <c r="H232" i="6" s="1"/>
  <c r="G101" i="6"/>
  <c r="J101" i="6" s="1"/>
  <c r="I11" i="6"/>
  <c r="G13" i="6"/>
  <c r="H13" i="6" s="1"/>
  <c r="H16" i="6"/>
  <c r="F22" i="6"/>
  <c r="H22" i="6" s="1"/>
  <c r="I38" i="6"/>
  <c r="I41" i="6"/>
  <c r="J41" i="6" s="1"/>
  <c r="H41" i="6"/>
  <c r="J68" i="6"/>
  <c r="J75" i="6"/>
  <c r="I100" i="6"/>
  <c r="J161" i="6"/>
  <c r="J169" i="6"/>
  <c r="J178" i="6"/>
  <c r="H182" i="6"/>
  <c r="J182" i="6"/>
  <c r="H187" i="6"/>
  <c r="J251" i="6"/>
  <c r="I298" i="6"/>
  <c r="J298" i="6" s="1"/>
  <c r="H298" i="6"/>
  <c r="G153" i="6"/>
  <c r="H153" i="6" s="1"/>
  <c r="J165" i="6"/>
  <c r="H170" i="6"/>
  <c r="I187" i="6"/>
  <c r="J187" i="6" s="1"/>
  <c r="G118" i="6"/>
  <c r="H118" i="6" s="1"/>
  <c r="G106" i="6"/>
  <c r="H106" i="6" s="1"/>
  <c r="G374" i="6"/>
  <c r="H374" i="6" s="1"/>
  <c r="G337" i="6"/>
  <c r="H337" i="6" s="1"/>
  <c r="G362" i="6"/>
  <c r="G325" i="6"/>
  <c r="H325" i="6" s="1"/>
  <c r="G350" i="6"/>
  <c r="G27" i="6"/>
  <c r="I49" i="6"/>
  <c r="I57" i="6"/>
  <c r="J57" i="6" s="1"/>
  <c r="I60" i="6"/>
  <c r="J63" i="6"/>
  <c r="G66" i="6"/>
  <c r="H66" i="6" s="1"/>
  <c r="G292" i="6"/>
  <c r="H292" i="6" s="1"/>
  <c r="G311" i="6"/>
  <c r="G136" i="6"/>
  <c r="H136" i="6" s="1"/>
  <c r="G167" i="6"/>
  <c r="H167" i="6" s="1"/>
  <c r="G208" i="6"/>
  <c r="G40" i="6"/>
  <c r="G492" i="6"/>
  <c r="H492" i="6" s="1"/>
  <c r="G446" i="6"/>
  <c r="H446" i="6" s="1"/>
  <c r="G458" i="6"/>
  <c r="H458" i="6" s="1"/>
  <c r="G398" i="6"/>
  <c r="H398" i="6" s="1"/>
  <c r="G375" i="6"/>
  <c r="G76" i="6"/>
  <c r="G53" i="6"/>
  <c r="H53" i="6" s="1"/>
  <c r="G134" i="6"/>
  <c r="G409" i="6"/>
  <c r="H409" i="6" s="1"/>
  <c r="G402" i="6"/>
  <c r="H402" i="6" s="1"/>
  <c r="G51" i="6"/>
  <c r="G286" i="6"/>
  <c r="G246" i="6"/>
  <c r="J246" i="6" s="1"/>
  <c r="G336" i="6"/>
  <c r="G380" i="6"/>
  <c r="H380" i="6" s="1"/>
  <c r="G361" i="6"/>
  <c r="H361" i="6" s="1"/>
  <c r="G373" i="6"/>
  <c r="H373" i="6" s="1"/>
  <c r="G349" i="6"/>
  <c r="H349" i="6" s="1"/>
  <c r="G243" i="6"/>
  <c r="H243" i="6" s="1"/>
  <c r="G405" i="6"/>
  <c r="H405" i="6" s="1"/>
  <c r="G339" i="6"/>
  <c r="G308" i="6"/>
  <c r="G397" i="6"/>
  <c r="G166" i="6"/>
  <c r="J166" i="6" s="1"/>
  <c r="G57" i="6"/>
  <c r="H57" i="6" s="1"/>
  <c r="G4" i="6"/>
  <c r="H4" i="6" s="1"/>
  <c r="I10" i="6"/>
  <c r="J10" i="6" s="1"/>
  <c r="I13" i="6"/>
  <c r="J13" i="6" s="1"/>
  <c r="G15" i="6"/>
  <c r="H15" i="6" s="1"/>
  <c r="I20" i="6"/>
  <c r="J20" i="6" s="1"/>
  <c r="I27" i="6"/>
  <c r="J27" i="6" s="1"/>
  <c r="H27" i="6"/>
  <c r="G34" i="6"/>
  <c r="H34" i="6" s="1"/>
  <c r="G49" i="6"/>
  <c r="H49" i="6" s="1"/>
  <c r="G60" i="6"/>
  <c r="H60" i="6" s="1"/>
  <c r="I72" i="6"/>
  <c r="G93" i="6"/>
  <c r="H93" i="6" s="1"/>
  <c r="I98" i="6"/>
  <c r="G108" i="6"/>
  <c r="J108" i="6" s="1"/>
  <c r="I115" i="6"/>
  <c r="G123" i="6"/>
  <c r="H123" i="6" s="1"/>
  <c r="G162" i="6"/>
  <c r="J162" i="6" s="1"/>
  <c r="J179" i="6"/>
  <c r="J183" i="6"/>
  <c r="I188" i="6"/>
  <c r="H238" i="6"/>
  <c r="I419" i="6"/>
  <c r="J419" i="6" s="1"/>
  <c r="E36" i="7" s="1"/>
  <c r="G36" i="7" s="1"/>
  <c r="H419" i="6"/>
  <c r="D36" i="7" s="1"/>
  <c r="F36" i="7" s="1"/>
  <c r="G244" i="6"/>
  <c r="H244" i="6" s="1"/>
  <c r="G259" i="6"/>
  <c r="G480" i="6"/>
  <c r="H480" i="6" s="1"/>
  <c r="G431" i="6"/>
  <c r="G412" i="6"/>
  <c r="J412" i="6" s="1"/>
  <c r="G475" i="6"/>
  <c r="H475" i="6" s="1"/>
  <c r="G194" i="6"/>
  <c r="H194" i="6" s="1"/>
  <c r="G471" i="6"/>
  <c r="J74" i="6"/>
  <c r="H74" i="6"/>
  <c r="G7" i="6"/>
  <c r="J7" i="6" s="1"/>
  <c r="J36" i="6"/>
  <c r="I46" i="6"/>
  <c r="J46" i="6" s="1"/>
  <c r="H46" i="6"/>
  <c r="G75" i="6"/>
  <c r="H75" i="6" s="1"/>
  <c r="H138" i="6"/>
  <c r="G332" i="6"/>
  <c r="H332" i="6" s="1"/>
  <c r="G436" i="6"/>
  <c r="H436" i="6" s="1"/>
  <c r="G417" i="6"/>
  <c r="H417" i="6" s="1"/>
  <c r="G404" i="6"/>
  <c r="H404" i="6" s="1"/>
  <c r="G464" i="6"/>
  <c r="H464" i="6" s="1"/>
  <c r="G453" i="6"/>
  <c r="G396" i="6"/>
  <c r="G487" i="6"/>
  <c r="G369" i="6"/>
  <c r="H369" i="6" s="1"/>
  <c r="G300" i="6"/>
  <c r="H300" i="6" s="1"/>
  <c r="G345" i="6"/>
  <c r="H345" i="6" s="1"/>
  <c r="G315" i="6"/>
  <c r="J315" i="6" s="1"/>
  <c r="G386" i="6"/>
  <c r="J386" i="6" s="1"/>
  <c r="G357" i="6"/>
  <c r="H357" i="6" s="1"/>
  <c r="G275" i="6"/>
  <c r="G271" i="6"/>
  <c r="G441" i="6"/>
  <c r="H441" i="6" s="1"/>
  <c r="G227" i="6"/>
  <c r="H227" i="6" s="1"/>
  <c r="G203" i="6"/>
  <c r="H203" i="6" s="1"/>
  <c r="G253" i="6"/>
  <c r="H253" i="6" s="1"/>
  <c r="G213" i="6"/>
  <c r="H213" i="6" s="1"/>
  <c r="G189" i="6"/>
  <c r="H189" i="6" s="1"/>
  <c r="G173" i="6"/>
  <c r="G143" i="6"/>
  <c r="H143" i="6" s="1"/>
  <c r="G426" i="6"/>
  <c r="H426" i="6" s="1"/>
  <c r="G322" i="6"/>
  <c r="G155" i="6"/>
  <c r="H155" i="6" s="1"/>
  <c r="G114" i="6"/>
  <c r="H114" i="6" s="1"/>
  <c r="G71" i="6"/>
  <c r="G221" i="6"/>
  <c r="G130" i="6"/>
  <c r="G85" i="6"/>
  <c r="H85" i="6" s="1"/>
  <c r="G92" i="6"/>
  <c r="G48" i="6"/>
  <c r="H48" i="6" s="1"/>
  <c r="G319" i="6"/>
  <c r="G264" i="6"/>
  <c r="H264" i="6" s="1"/>
  <c r="G313" i="6"/>
  <c r="H313" i="6" s="1"/>
  <c r="G366" i="6"/>
  <c r="G354" i="6"/>
  <c r="G342" i="6"/>
  <c r="G297" i="6"/>
  <c r="H297" i="6" s="1"/>
  <c r="G250" i="6"/>
  <c r="G235" i="6"/>
  <c r="G289" i="6"/>
  <c r="H289" i="6" s="1"/>
  <c r="G249" i="6"/>
  <c r="H249" i="6" s="1"/>
  <c r="G329" i="6"/>
  <c r="G255" i="6"/>
  <c r="H255" i="6" s="1"/>
  <c r="G261" i="6"/>
  <c r="H261" i="6" s="1"/>
  <c r="G293" i="6"/>
  <c r="H293" i="6" s="1"/>
  <c r="G273" i="6"/>
  <c r="H273" i="6" s="1"/>
  <c r="G9" i="6"/>
  <c r="H9" i="6" s="1"/>
  <c r="G17" i="6"/>
  <c r="H17" i="6" s="1"/>
  <c r="G25" i="6"/>
  <c r="H25" i="6" s="1"/>
  <c r="H32" i="6"/>
  <c r="H36" i="6"/>
  <c r="G44" i="6"/>
  <c r="H44" i="6" s="1"/>
  <c r="I52" i="6"/>
  <c r="J52" i="6" s="1"/>
  <c r="H52" i="6"/>
  <c r="J55" i="6"/>
  <c r="G58" i="6"/>
  <c r="H58" i="6" s="1"/>
  <c r="H63" i="6"/>
  <c r="H79" i="6"/>
  <c r="I79" i="6"/>
  <c r="J79" i="6" s="1"/>
  <c r="G82" i="6"/>
  <c r="H82" i="6" s="1"/>
  <c r="J85" i="6"/>
  <c r="H91" i="6"/>
  <c r="G98" i="6"/>
  <c r="H98" i="6" s="1"/>
  <c r="G112" i="6"/>
  <c r="J131" i="6"/>
  <c r="H151" i="6"/>
  <c r="J154" i="6"/>
  <c r="J159" i="6"/>
  <c r="I180" i="6"/>
  <c r="J180" i="6" s="1"/>
  <c r="I219" i="6"/>
  <c r="G233" i="6"/>
  <c r="H233" i="6" s="1"/>
  <c r="I243" i="6"/>
  <c r="G414" i="6"/>
  <c r="H414" i="6" s="1"/>
  <c r="H420" i="6"/>
  <c r="D37" i="7" s="1"/>
  <c r="F37" i="7" s="1"/>
  <c r="G489" i="6"/>
  <c r="H489" i="6" s="1"/>
  <c r="G443" i="6"/>
  <c r="G466" i="6"/>
  <c r="H466" i="6" s="1"/>
  <c r="G455" i="6"/>
  <c r="H455" i="6" s="1"/>
  <c r="G387" i="6"/>
  <c r="G428" i="6"/>
  <c r="G440" i="6"/>
  <c r="H440" i="6" s="1"/>
  <c r="G356" i="6"/>
  <c r="H356" i="6" s="1"/>
  <c r="G435" i="6"/>
  <c r="G416" i="6"/>
  <c r="H416" i="6" s="1"/>
  <c r="G425" i="6"/>
  <c r="H425" i="6" s="1"/>
  <c r="G368" i="6"/>
  <c r="H368" i="6" s="1"/>
  <c r="G344" i="6"/>
  <c r="H344" i="6" s="1"/>
  <c r="G331" i="6"/>
  <c r="G385" i="6"/>
  <c r="H385" i="6" s="1"/>
  <c r="G395" i="6"/>
  <c r="H395" i="6" s="1"/>
  <c r="G463" i="6"/>
  <c r="H463" i="6" s="1"/>
  <c r="G403" i="6"/>
  <c r="G486" i="6"/>
  <c r="G188" i="6"/>
  <c r="H188" i="6" s="1"/>
  <c r="G226" i="6"/>
  <c r="J226" i="6" s="1"/>
  <c r="G202" i="6"/>
  <c r="G321" i="6"/>
  <c r="H321" i="6" s="1"/>
  <c r="G254" i="6"/>
  <c r="J254" i="6" s="1"/>
  <c r="G314" i="6"/>
  <c r="G154" i="6"/>
  <c r="H154" i="6" s="1"/>
  <c r="G113" i="6"/>
  <c r="J113" i="6" s="1"/>
  <c r="G452" i="6"/>
  <c r="H452" i="6" s="1"/>
  <c r="G274" i="6"/>
  <c r="G222" i="6"/>
  <c r="G270" i="6"/>
  <c r="H270" i="6" s="1"/>
  <c r="G84" i="6"/>
  <c r="J84" i="6" s="1"/>
  <c r="G301" i="6"/>
  <c r="H301" i="6" s="1"/>
  <c r="G142" i="6"/>
  <c r="G97" i="6"/>
  <c r="J97" i="6" s="1"/>
  <c r="G62" i="6"/>
  <c r="G32" i="6"/>
  <c r="J32" i="6" s="1"/>
  <c r="G172" i="6"/>
  <c r="H172" i="6" s="1"/>
  <c r="G19" i="6"/>
  <c r="J19" i="6" s="1"/>
  <c r="H21" i="6"/>
  <c r="I30" i="6"/>
  <c r="J39" i="6"/>
  <c r="I86" i="6"/>
  <c r="H109" i="6"/>
  <c r="I109" i="6"/>
  <c r="J109" i="6" s="1"/>
  <c r="J135" i="6"/>
  <c r="H159" i="6"/>
  <c r="I167" i="6"/>
  <c r="G180" i="6"/>
  <c r="H180" i="6" s="1"/>
  <c r="J193" i="6"/>
  <c r="G207" i="6"/>
  <c r="H207" i="6" s="1"/>
  <c r="G218" i="6"/>
  <c r="G265" i="6"/>
  <c r="G198" i="6"/>
  <c r="G379" i="6"/>
  <c r="G193" i="6"/>
  <c r="H193" i="6" s="1"/>
  <c r="G434" i="6"/>
  <c r="H434" i="6" s="1"/>
  <c r="G415" i="6"/>
  <c r="H415" i="6" s="1"/>
  <c r="G209" i="6"/>
  <c r="H209" i="6" s="1"/>
  <c r="G201" i="6"/>
  <c r="J201" i="6" s="1"/>
  <c r="G217" i="6"/>
  <c r="G163" i="6"/>
  <c r="G181" i="6"/>
  <c r="J181" i="6" s="1"/>
  <c r="G104" i="6"/>
  <c r="H104" i="6" s="1"/>
  <c r="G38" i="6"/>
  <c r="H38" i="6" s="1"/>
  <c r="G484" i="6"/>
  <c r="H484" i="6" s="1"/>
  <c r="G461" i="6"/>
  <c r="G450" i="6"/>
  <c r="H450" i="6" s="1"/>
  <c r="G382" i="6"/>
  <c r="G423" i="6"/>
  <c r="G392" i="6"/>
  <c r="G276" i="6"/>
  <c r="G268" i="6"/>
  <c r="H268" i="6" s="1"/>
  <c r="G438" i="6"/>
  <c r="H438" i="6" s="1"/>
  <c r="G126" i="6"/>
  <c r="H126" i="6" s="1"/>
  <c r="G94" i="6"/>
  <c r="G224" i="6"/>
  <c r="H224" i="6" s="1"/>
  <c r="G185" i="6"/>
  <c r="H185" i="6" s="1"/>
  <c r="G110" i="6"/>
  <c r="J110" i="6" s="1"/>
  <c r="G59" i="6"/>
  <c r="G29" i="6"/>
  <c r="H29" i="6" s="1"/>
  <c r="G139" i="6"/>
  <c r="H139" i="6" s="1"/>
  <c r="G81" i="6"/>
  <c r="G67" i="6"/>
  <c r="G469" i="6"/>
  <c r="H469" i="6" s="1"/>
  <c r="G353" i="6"/>
  <c r="H353" i="6" s="1"/>
  <c r="G410" i="6"/>
  <c r="H410" i="6" s="1"/>
  <c r="D33" i="7" s="1"/>
  <c r="F33" i="7" s="1"/>
  <c r="G328" i="6"/>
  <c r="G365" i="6"/>
  <c r="H365" i="6" s="1"/>
  <c r="G341" i="6"/>
  <c r="H341" i="6" s="1"/>
  <c r="G318" i="6"/>
  <c r="G305" i="6"/>
  <c r="H305" i="6" s="1"/>
  <c r="G238" i="6"/>
  <c r="J238" i="6" s="1"/>
  <c r="G281" i="6"/>
  <c r="H281" i="6" s="1"/>
  <c r="G258" i="6"/>
  <c r="H258" i="6" s="1"/>
  <c r="G371" i="6"/>
  <c r="G347" i="6"/>
  <c r="J347" i="6" s="1"/>
  <c r="G323" i="6"/>
  <c r="G388" i="6"/>
  <c r="H388" i="6" s="1"/>
  <c r="G359" i="6"/>
  <c r="H359" i="6" s="1"/>
  <c r="G277" i="6"/>
  <c r="H277" i="6" s="1"/>
  <c r="G334" i="6"/>
  <c r="G432" i="6"/>
  <c r="H432" i="6" s="1"/>
  <c r="G413" i="6"/>
  <c r="H413" i="6" s="1"/>
  <c r="G465" i="6"/>
  <c r="H465" i="6" s="1"/>
  <c r="G454" i="6"/>
  <c r="H454" i="6" s="1"/>
  <c r="G488" i="6"/>
  <c r="J488" i="6" s="1"/>
  <c r="G442" i="6"/>
  <c r="H442" i="6" s="1"/>
  <c r="G427" i="6"/>
  <c r="G228" i="6"/>
  <c r="H228" i="6" s="1"/>
  <c r="G156" i="6"/>
  <c r="H156" i="6" s="1"/>
  <c r="G137" i="6"/>
  <c r="H137" i="6" s="1"/>
  <c r="G115" i="6"/>
  <c r="H115" i="6" s="1"/>
  <c r="G174" i="6"/>
  <c r="H174" i="6" s="1"/>
  <c r="G144" i="6"/>
  <c r="G99" i="6"/>
  <c r="J99" i="6" s="1"/>
  <c r="G64" i="6"/>
  <c r="H64" i="6" s="1"/>
  <c r="G21" i="6"/>
  <c r="G72" i="6"/>
  <c r="H72" i="6" s="1"/>
  <c r="G481" i="6"/>
  <c r="H481" i="6" s="1"/>
  <c r="G476" i="6"/>
  <c r="H476" i="6" s="1"/>
  <c r="G408" i="6"/>
  <c r="H408" i="6" s="1"/>
  <c r="G472" i="6"/>
  <c r="J472" i="6" s="1"/>
  <c r="H204" i="6"/>
  <c r="J204" i="6"/>
  <c r="G199" i="6"/>
  <c r="H199" i="6" s="1"/>
  <c r="G210" i="6"/>
  <c r="J210" i="6" s="1"/>
  <c r="G219" i="6"/>
  <c r="H219" i="6" s="1"/>
  <c r="G149" i="6"/>
  <c r="H149" i="6" s="1"/>
  <c r="G90" i="6"/>
  <c r="J90" i="6" s="1"/>
  <c r="G473" i="6"/>
  <c r="H473" i="6" s="1"/>
  <c r="G477" i="6"/>
  <c r="H477" i="6" s="1"/>
  <c r="G407" i="6"/>
  <c r="G482" i="6"/>
  <c r="H482" i="6" s="1"/>
  <c r="G288" i="6"/>
  <c r="H288" i="6" s="1"/>
  <c r="G14" i="6"/>
  <c r="I21" i="6"/>
  <c r="J21" i="6" s="1"/>
  <c r="G28" i="6"/>
  <c r="H28" i="6" s="1"/>
  <c r="G30" i="6"/>
  <c r="H30" i="6" s="1"/>
  <c r="G70" i="6"/>
  <c r="G86" i="6"/>
  <c r="H86" i="6" s="1"/>
  <c r="J91" i="6"/>
  <c r="G102" i="6"/>
  <c r="J102" i="6" s="1"/>
  <c r="J106" i="6"/>
  <c r="G121" i="6"/>
  <c r="H121" i="6" s="1"/>
  <c r="H129" i="6"/>
  <c r="J143" i="6"/>
  <c r="J151" i="6"/>
  <c r="G190" i="6"/>
  <c r="J190" i="6" s="1"/>
  <c r="J203" i="6"/>
  <c r="J225" i="6"/>
  <c r="J312" i="6"/>
  <c r="J316" i="6"/>
  <c r="J146" i="6"/>
  <c r="H146" i="6"/>
  <c r="G363" i="6"/>
  <c r="G377" i="6"/>
  <c r="H377" i="6" s="1"/>
  <c r="G378" i="6"/>
  <c r="J378" i="6" s="1"/>
  <c r="G192" i="6"/>
  <c r="H192" i="6" s="1"/>
  <c r="G372" i="6"/>
  <c r="H372" i="6" s="1"/>
  <c r="G364" i="6"/>
  <c r="H364" i="6" s="1"/>
  <c r="G348" i="6"/>
  <c r="J348" i="6" s="1"/>
  <c r="G340" i="6"/>
  <c r="H340" i="6" s="1"/>
  <c r="G324" i="6"/>
  <c r="G490" i="6"/>
  <c r="J490" i="6" s="1"/>
  <c r="G493" i="6"/>
  <c r="J493" i="6" s="1"/>
  <c r="G447" i="6"/>
  <c r="H447" i="6" s="1"/>
  <c r="G390" i="6"/>
  <c r="H390" i="6" s="1"/>
  <c r="G360" i="6"/>
  <c r="G352" i="6"/>
  <c r="H352" i="6" s="1"/>
  <c r="G355" i="6"/>
  <c r="G467" i="6"/>
  <c r="G456" i="6"/>
  <c r="H456" i="6" s="1"/>
  <c r="G399" i="6"/>
  <c r="J399" i="6" s="1"/>
  <c r="G367" i="6"/>
  <c r="G335" i="6"/>
  <c r="H335" i="6" s="1"/>
  <c r="G376" i="6"/>
  <c r="H376" i="6" s="1"/>
  <c r="G330" i="6"/>
  <c r="G343" i="6"/>
  <c r="G320" i="6"/>
  <c r="G304" i="6"/>
  <c r="H304" i="6" s="1"/>
  <c r="G280" i="6"/>
  <c r="H280" i="6" s="1"/>
  <c r="G252" i="6"/>
  <c r="H252" i="6" s="1"/>
  <c r="G317" i="6"/>
  <c r="H317" i="6" s="1"/>
  <c r="G191" i="6"/>
  <c r="J191" i="6" s="1"/>
  <c r="G429" i="6"/>
  <c r="H429" i="6" s="1"/>
  <c r="G444" i="6"/>
  <c r="H444" i="6" s="1"/>
  <c r="G278" i="6"/>
  <c r="G157" i="6"/>
  <c r="G116" i="6"/>
  <c r="G459" i="6"/>
  <c r="H459" i="6" s="1"/>
  <c r="G327" i="6"/>
  <c r="H327" i="6" s="1"/>
  <c r="G229" i="6"/>
  <c r="J229" i="6" s="1"/>
  <c r="G87" i="6"/>
  <c r="H87" i="6" s="1"/>
  <c r="G65" i="6"/>
  <c r="G132" i="6"/>
  <c r="G263" i="6"/>
  <c r="H263" i="6" s="1"/>
  <c r="G175" i="6"/>
  <c r="G35" i="6"/>
  <c r="J35" i="6" s="1"/>
  <c r="G100" i="6"/>
  <c r="H100" i="6" s="1"/>
  <c r="G236" i="6"/>
  <c r="H236" i="6" s="1"/>
  <c r="G105" i="6"/>
  <c r="G120" i="6"/>
  <c r="H120" i="6" s="1"/>
  <c r="G381" i="6"/>
  <c r="G216" i="6"/>
  <c r="H216" i="6" s="1"/>
  <c r="G272" i="6"/>
  <c r="J272" i="6" s="1"/>
  <c r="G257" i="6"/>
  <c r="H257" i="6" s="1"/>
  <c r="G107" i="6"/>
  <c r="H107" i="6" s="1"/>
  <c r="G237" i="6"/>
  <c r="H237" i="6" s="1"/>
  <c r="G78" i="6"/>
  <c r="H78" i="6" s="1"/>
  <c r="G468" i="6"/>
  <c r="H468" i="6" s="1"/>
  <c r="G457" i="6"/>
  <c r="G491" i="6"/>
  <c r="H491" i="6" s="1"/>
  <c r="G445" i="6"/>
  <c r="H445" i="6" s="1"/>
  <c r="G8" i="6"/>
  <c r="H8" i="6" s="1"/>
  <c r="G11" i="6"/>
  <c r="H11" i="6" s="1"/>
  <c r="G26" i="6"/>
  <c r="H26" i="6" s="1"/>
  <c r="J33" i="6"/>
  <c r="H68" i="6"/>
  <c r="J73" i="6"/>
  <c r="I77" i="6"/>
  <c r="J77" i="6" s="1"/>
  <c r="H77" i="6"/>
  <c r="G89" i="6"/>
  <c r="H89" i="6" s="1"/>
  <c r="G129" i="6"/>
  <c r="J129" i="6" s="1"/>
  <c r="J172" i="6"/>
  <c r="J215" i="6"/>
  <c r="G266" i="6"/>
  <c r="H266" i="6" s="1"/>
  <c r="J285" i="6"/>
  <c r="F116" i="6"/>
  <c r="H119" i="6"/>
  <c r="F175" i="6"/>
  <c r="I175" i="6" s="1"/>
  <c r="J175" i="6" s="1"/>
  <c r="H191" i="6"/>
  <c r="J199" i="6"/>
  <c r="J223" i="6"/>
  <c r="H235" i="6"/>
  <c r="J247" i="6"/>
  <c r="J318" i="6"/>
  <c r="J467" i="6"/>
  <c r="H96" i="6"/>
  <c r="H113" i="6"/>
  <c r="J119" i="6"/>
  <c r="H127" i="6"/>
  <c r="J136" i="6"/>
  <c r="F157" i="6"/>
  <c r="H160" i="6"/>
  <c r="H181" i="6"/>
  <c r="I194" i="6"/>
  <c r="J235" i="6"/>
  <c r="J239" i="6"/>
  <c r="J268" i="6"/>
  <c r="J291" i="6"/>
  <c r="H318" i="6"/>
  <c r="J391" i="6"/>
  <c r="H467" i="6"/>
  <c r="H99" i="6"/>
  <c r="J127" i="6"/>
  <c r="H132" i="6"/>
  <c r="J144" i="6"/>
  <c r="H150" i="6"/>
  <c r="J160" i="6"/>
  <c r="H168" i="6"/>
  <c r="J189" i="6"/>
  <c r="I221" i="6"/>
  <c r="J221" i="6" s="1"/>
  <c r="H221" i="6"/>
  <c r="H283" i="6"/>
  <c r="I283" i="6"/>
  <c r="J283" i="6" s="1"/>
  <c r="H355" i="6"/>
  <c r="I355" i="6"/>
  <c r="J355" i="6" s="1"/>
  <c r="H97" i="6"/>
  <c r="H128" i="6"/>
  <c r="H140" i="6"/>
  <c r="H144" i="6"/>
  <c r="J147" i="6"/>
  <c r="H161" i="6"/>
  <c r="I168" i="6"/>
  <c r="J168" i="6" s="1"/>
  <c r="H195" i="6"/>
  <c r="J211" i="6"/>
  <c r="I346" i="6"/>
  <c r="J346" i="6" s="1"/>
  <c r="H346" i="6"/>
  <c r="I356" i="6"/>
  <c r="J120" i="6"/>
  <c r="J125" i="6"/>
  <c r="I132" i="6"/>
  <c r="J132" i="6" s="1"/>
  <c r="F145" i="6"/>
  <c r="H145" i="6" s="1"/>
  <c r="I150" i="6"/>
  <c r="J150" i="6" s="1"/>
  <c r="J155" i="6"/>
  <c r="J158" i="6"/>
  <c r="H169" i="6"/>
  <c r="H179" i="6"/>
  <c r="J207" i="6"/>
  <c r="H218" i="6"/>
  <c r="I218" i="6"/>
  <c r="J218" i="6" s="1"/>
  <c r="J241" i="6"/>
  <c r="H246" i="6"/>
  <c r="I260" i="6"/>
  <c r="J260" i="6" s="1"/>
  <c r="H260" i="6"/>
  <c r="J382" i="6"/>
  <c r="H210" i="6"/>
  <c r="H226" i="6"/>
  <c r="J228" i="6"/>
  <c r="I270" i="6"/>
  <c r="H299" i="6"/>
  <c r="I299" i="6"/>
  <c r="J299" i="6" s="1"/>
  <c r="J302" i="6"/>
  <c r="H326" i="6"/>
  <c r="I326" i="6"/>
  <c r="J326" i="6" s="1"/>
  <c r="J200" i="6"/>
  <c r="H202" i="6"/>
  <c r="J208" i="6"/>
  <c r="J212" i="6"/>
  <c r="H222" i="6"/>
  <c r="J224" i="6"/>
  <c r="H229" i="6"/>
  <c r="J236" i="6"/>
  <c r="J244" i="6"/>
  <c r="J252" i="6"/>
  <c r="I258" i="6"/>
  <c r="J258" i="6" s="1"/>
  <c r="I274" i="6"/>
  <c r="J274" i="6" s="1"/>
  <c r="H274" i="6"/>
  <c r="I290" i="6"/>
  <c r="J290" i="6" s="1"/>
  <c r="H290" i="6"/>
  <c r="I327" i="6"/>
  <c r="H343" i="6"/>
  <c r="H375" i="6"/>
  <c r="I375" i="6"/>
  <c r="J375" i="6" s="1"/>
  <c r="I411" i="6"/>
  <c r="J411" i="6" s="1"/>
  <c r="H411" i="6"/>
  <c r="J431" i="6"/>
  <c r="I446" i="6"/>
  <c r="J468" i="6"/>
  <c r="J486" i="6"/>
  <c r="I202" i="6"/>
  <c r="J202" i="6" s="1"/>
  <c r="I213" i="6"/>
  <c r="I234" i="6"/>
  <c r="J234" i="6" s="1"/>
  <c r="H234" i="6"/>
  <c r="I237" i="6"/>
  <c r="I242" i="6"/>
  <c r="J242" i="6" s="1"/>
  <c r="H242" i="6"/>
  <c r="I245" i="6"/>
  <c r="J245" i="6" s="1"/>
  <c r="H245" i="6"/>
  <c r="I250" i="6"/>
  <c r="J250" i="6" s="1"/>
  <c r="H250" i="6"/>
  <c r="I253" i="6"/>
  <c r="J261" i="6"/>
  <c r="H267" i="6"/>
  <c r="I267" i="6"/>
  <c r="J267" i="6" s="1"/>
  <c r="I278" i="6"/>
  <c r="J278" i="6" s="1"/>
  <c r="H278" i="6"/>
  <c r="I287" i="6"/>
  <c r="H296" i="6"/>
  <c r="J309" i="6"/>
  <c r="J320" i="6"/>
  <c r="I343" i="6"/>
  <c r="I362" i="6"/>
  <c r="J362" i="6" s="1"/>
  <c r="H362" i="6"/>
  <c r="I464" i="6"/>
  <c r="J192" i="6"/>
  <c r="H200" i="6"/>
  <c r="H208" i="6"/>
  <c r="I222" i="6"/>
  <c r="J222" i="6" s="1"/>
  <c r="J240" i="6"/>
  <c r="J256" i="6"/>
  <c r="H259" i="6"/>
  <c r="I259" i="6"/>
  <c r="J259" i="6" s="1"/>
  <c r="H271" i="6"/>
  <c r="I271" i="6"/>
  <c r="J271" i="6" s="1"/>
  <c r="I296" i="6"/>
  <c r="J296" i="6" s="1"/>
  <c r="H303" i="6"/>
  <c r="H307" i="6"/>
  <c r="I307" i="6"/>
  <c r="J307" i="6" s="1"/>
  <c r="I310" i="6"/>
  <c r="H320" i="6"/>
  <c r="J331" i="6"/>
  <c r="J367" i="6"/>
  <c r="I389" i="6"/>
  <c r="J389" i="6" s="1"/>
  <c r="H389" i="6"/>
  <c r="J398" i="6"/>
  <c r="H443" i="6"/>
  <c r="H488" i="6"/>
  <c r="I265" i="6"/>
  <c r="J265" i="6" s="1"/>
  <c r="H265" i="6"/>
  <c r="H275" i="6"/>
  <c r="I275" i="6"/>
  <c r="J275" i="6" s="1"/>
  <c r="I288" i="6"/>
  <c r="J294" i="6"/>
  <c r="J300" i="6"/>
  <c r="J303" i="6"/>
  <c r="H311" i="6"/>
  <c r="I332" i="6"/>
  <c r="J340" i="6"/>
  <c r="J344" i="6"/>
  <c r="J380" i="6"/>
  <c r="I423" i="6"/>
  <c r="J423" i="6" s="1"/>
  <c r="H423" i="6"/>
  <c r="J443" i="6"/>
  <c r="I197" i="6"/>
  <c r="H197" i="6"/>
  <c r="I205" i="6"/>
  <c r="J205" i="6" s="1"/>
  <c r="H205" i="6"/>
  <c r="H214" i="6"/>
  <c r="J220" i="6"/>
  <c r="H279" i="6"/>
  <c r="I279" i="6"/>
  <c r="J279" i="6" s="1"/>
  <c r="I311" i="6"/>
  <c r="J311" i="6" s="1"/>
  <c r="I359" i="6"/>
  <c r="J368" i="6"/>
  <c r="I377" i="6"/>
  <c r="I381" i="6"/>
  <c r="J381" i="6" s="1"/>
  <c r="H381" i="6"/>
  <c r="J428" i="6"/>
  <c r="I314" i="6"/>
  <c r="J314" i="6" s="1"/>
  <c r="H314" i="6"/>
  <c r="I338" i="6"/>
  <c r="J338" i="6" s="1"/>
  <c r="H338" i="6"/>
  <c r="H371" i="6"/>
  <c r="I371" i="6"/>
  <c r="J371" i="6" s="1"/>
  <c r="I385" i="6"/>
  <c r="J388" i="6"/>
  <c r="J406" i="6"/>
  <c r="H428" i="6"/>
  <c r="J437" i="6"/>
  <c r="J459" i="6"/>
  <c r="J463" i="6"/>
  <c r="I479" i="6"/>
  <c r="J479" i="6" s="1"/>
  <c r="H479" i="6"/>
  <c r="J482" i="6"/>
  <c r="H393" i="6"/>
  <c r="I416" i="6"/>
  <c r="J420" i="6"/>
  <c r="E37" i="7" s="1"/>
  <c r="G37" i="7" s="1"/>
  <c r="J433" i="6"/>
  <c r="J491" i="6"/>
  <c r="J281" i="6"/>
  <c r="I306" i="6"/>
  <c r="J306" i="6" s="1"/>
  <c r="H306" i="6"/>
  <c r="H319" i="6"/>
  <c r="I324" i="6"/>
  <c r="J324" i="6" s="1"/>
  <c r="H324" i="6"/>
  <c r="I330" i="6"/>
  <c r="H330" i="6"/>
  <c r="H339" i="6"/>
  <c r="I339" i="6"/>
  <c r="J339" i="6" s="1"/>
  <c r="H348" i="6"/>
  <c r="I354" i="6"/>
  <c r="J354" i="6" s="1"/>
  <c r="H354" i="6"/>
  <c r="H363" i="6"/>
  <c r="H397" i="6"/>
  <c r="I397" i="6"/>
  <c r="J397" i="6" s="1"/>
  <c r="I408" i="6"/>
  <c r="I434" i="6"/>
  <c r="I449" i="6"/>
  <c r="J449" i="6" s="1"/>
  <c r="H449" i="6"/>
  <c r="I453" i="6"/>
  <c r="J453" i="6" s="1"/>
  <c r="H453" i="6"/>
  <c r="H461" i="6"/>
  <c r="I465" i="6"/>
  <c r="I476" i="6"/>
  <c r="J480" i="6"/>
  <c r="J492" i="6"/>
  <c r="I282" i="6"/>
  <c r="J282" i="6" s="1"/>
  <c r="H282" i="6"/>
  <c r="H291" i="6"/>
  <c r="H295" i="6"/>
  <c r="J301" i="6"/>
  <c r="I319" i="6"/>
  <c r="J319" i="6" s="1"/>
  <c r="J345" i="6"/>
  <c r="I363" i="6"/>
  <c r="J363" i="6" s="1"/>
  <c r="J413" i="6"/>
  <c r="H435" i="6"/>
  <c r="J461" i="6"/>
  <c r="J470" i="6"/>
  <c r="J489" i="6"/>
  <c r="J269" i="6"/>
  <c r="J273" i="6"/>
  <c r="J277" i="6"/>
  <c r="I322" i="6"/>
  <c r="J322" i="6" s="1"/>
  <c r="H322" i="6"/>
  <c r="H331" i="6"/>
  <c r="J364" i="6"/>
  <c r="I370" i="6"/>
  <c r="J370" i="6" s="1"/>
  <c r="H370" i="6"/>
  <c r="J390" i="6"/>
  <c r="I394" i="6"/>
  <c r="J394" i="6" s="1"/>
  <c r="H394" i="6"/>
  <c r="J409" i="6"/>
  <c r="H431" i="6"/>
  <c r="J435" i="6"/>
  <c r="J481" i="6"/>
  <c r="J485" i="6"/>
  <c r="I334" i="6"/>
  <c r="J334" i="6" s="1"/>
  <c r="H334" i="6"/>
  <c r="I350" i="6"/>
  <c r="J350" i="6" s="1"/>
  <c r="H350" i="6"/>
  <c r="I366" i="6"/>
  <c r="J366" i="6" s="1"/>
  <c r="H366" i="6"/>
  <c r="J383" i="6"/>
  <c r="H386" i="6"/>
  <c r="I396" i="6"/>
  <c r="J396" i="6" s="1"/>
  <c r="H396" i="6"/>
  <c r="J401" i="6"/>
  <c r="I407" i="6"/>
  <c r="J407" i="6" s="1"/>
  <c r="H407" i="6"/>
  <c r="J425" i="6"/>
  <c r="I438" i="6"/>
  <c r="J455" i="6"/>
  <c r="J458" i="6"/>
  <c r="I471" i="6"/>
  <c r="J471" i="6" s="1"/>
  <c r="H471" i="6"/>
  <c r="D43" i="7" s="1"/>
  <c r="F43" i="7" s="1"/>
  <c r="J473" i="6"/>
  <c r="J337" i="6"/>
  <c r="H351" i="6"/>
  <c r="J353" i="6"/>
  <c r="J357" i="6"/>
  <c r="H367" i="6"/>
  <c r="J373" i="6"/>
  <c r="I403" i="6"/>
  <c r="H403" i="6"/>
  <c r="J405" i="6"/>
  <c r="J417" i="6"/>
  <c r="I427" i="6"/>
  <c r="J427" i="6" s="1"/>
  <c r="H427" i="6"/>
  <c r="I430" i="6"/>
  <c r="J430" i="6" s="1"/>
  <c r="H439" i="6"/>
  <c r="J441" i="6"/>
  <c r="J447" i="6"/>
  <c r="I460" i="6"/>
  <c r="J460" i="6" s="1"/>
  <c r="H460" i="6"/>
  <c r="H472" i="6"/>
  <c r="I483" i="6"/>
  <c r="J483" i="6" s="1"/>
  <c r="H483" i="6"/>
  <c r="I342" i="6"/>
  <c r="J342" i="6" s="1"/>
  <c r="H342" i="6"/>
  <c r="I358" i="6"/>
  <c r="J358" i="6" s="1"/>
  <c r="H358" i="6"/>
  <c r="I374" i="6"/>
  <c r="H400" i="6"/>
  <c r="H412" i="6"/>
  <c r="J418" i="6"/>
  <c r="E35" i="7" s="1"/>
  <c r="G35" i="7" s="1"/>
  <c r="J421" i="6"/>
  <c r="E38" i="7" s="1"/>
  <c r="G38" i="7" s="1"/>
  <c r="H424" i="6"/>
  <c r="I442" i="6"/>
  <c r="J444" i="6"/>
  <c r="H457" i="6"/>
  <c r="J474" i="6"/>
  <c r="J478" i="6"/>
  <c r="I487" i="6"/>
  <c r="J487" i="6" s="1"/>
  <c r="H487" i="6"/>
  <c r="J376" i="6"/>
  <c r="H382" i="6"/>
  <c r="J384" i="6"/>
  <c r="J400" i="6"/>
  <c r="I415" i="6"/>
  <c r="J424" i="6"/>
  <c r="J436" i="6"/>
  <c r="I445" i="6"/>
  <c r="J457" i="6"/>
  <c r="J466" i="6"/>
  <c r="J469" i="6"/>
  <c r="I475" i="6"/>
  <c r="H486" i="6"/>
  <c r="I429" i="6"/>
  <c r="J429" i="6" s="1"/>
  <c r="H493" i="6" l="1"/>
  <c r="J442" i="6"/>
  <c r="J416" i="6"/>
  <c r="J352" i="6"/>
  <c r="J450" i="6"/>
  <c r="H201" i="6"/>
  <c r="H110" i="6"/>
  <c r="H101" i="6"/>
  <c r="J230" i="6"/>
  <c r="H19" i="6"/>
  <c r="H166" i="6"/>
  <c r="J104" i="6"/>
  <c r="J44" i="6"/>
  <c r="J123" i="6"/>
  <c r="J126" i="6"/>
  <c r="J297" i="6"/>
  <c r="J335" i="6"/>
  <c r="J293" i="6"/>
  <c r="J361" i="6"/>
  <c r="J118" i="6"/>
  <c r="J372" i="6"/>
  <c r="J330" i="6"/>
  <c r="J359" i="6"/>
  <c r="J422" i="6"/>
  <c r="E39" i="7" s="1"/>
  <c r="G39" i="7" s="1"/>
  <c r="J327" i="6"/>
  <c r="J292" i="6"/>
  <c r="H108" i="6"/>
  <c r="J156" i="6"/>
  <c r="J243" i="6"/>
  <c r="J82" i="6"/>
  <c r="J255" i="6"/>
  <c r="J403" i="6"/>
  <c r="J475" i="6"/>
  <c r="J414" i="6"/>
  <c r="J333" i="6"/>
  <c r="J452" i="6"/>
  <c r="H399" i="6"/>
  <c r="J288" i="6"/>
  <c r="J305" i="6"/>
  <c r="J270" i="6"/>
  <c r="H157" i="6"/>
  <c r="J257" i="6"/>
  <c r="H35" i="6"/>
  <c r="J93" i="6"/>
  <c r="J15" i="6"/>
  <c r="J369" i="6"/>
  <c r="D45" i="7"/>
  <c r="F45" i="7" s="1"/>
  <c r="J317" i="6"/>
  <c r="E24" i="7" s="1"/>
  <c r="G24" i="7" s="1"/>
  <c r="J456" i="6"/>
  <c r="J410" i="6"/>
  <c r="E33" i="7" s="1"/>
  <c r="G33" i="7" s="1"/>
  <c r="J121" i="6"/>
  <c r="J66" i="6"/>
  <c r="J100" i="6"/>
  <c r="J9" i="6"/>
  <c r="J325" i="6"/>
  <c r="J451" i="6"/>
  <c r="E41" i="7" s="1"/>
  <c r="G41" i="7" s="1"/>
  <c r="J426" i="6"/>
  <c r="E43" i="7"/>
  <c r="G43" i="7" s="1"/>
  <c r="J321" i="6"/>
  <c r="J484" i="6"/>
  <c r="J332" i="6"/>
  <c r="J432" i="6"/>
  <c r="J95" i="6"/>
  <c r="J219" i="6"/>
  <c r="H54" i="6"/>
  <c r="H18" i="6"/>
  <c r="D3" i="7" s="1"/>
  <c r="F3" i="7" s="1"/>
  <c r="J438" i="6"/>
  <c r="J445" i="6"/>
  <c r="J341" i="6"/>
  <c r="H347" i="6"/>
  <c r="D26" i="7" s="1"/>
  <c r="F26" i="7" s="1"/>
  <c r="J248" i="6"/>
  <c r="J464" i="6"/>
  <c r="J313" i="6"/>
  <c r="H190" i="6"/>
  <c r="J88" i="6"/>
  <c r="J139" i="6"/>
  <c r="J266" i="6"/>
  <c r="J81" i="6"/>
  <c r="H81" i="6"/>
  <c r="J30" i="6"/>
  <c r="J112" i="6"/>
  <c r="H112" i="6"/>
  <c r="J329" i="6"/>
  <c r="H329" i="6"/>
  <c r="H7" i="6"/>
  <c r="D2" i="7" s="1"/>
  <c r="F2" i="7" s="1"/>
  <c r="H51" i="6"/>
  <c r="J51" i="6"/>
  <c r="H122" i="6"/>
  <c r="J122" i="6"/>
  <c r="J262" i="6"/>
  <c r="E21" i="7" s="1"/>
  <c r="G21" i="7" s="1"/>
  <c r="H262" i="6"/>
  <c r="H43" i="6"/>
  <c r="H83" i="6"/>
  <c r="J83" i="6"/>
  <c r="J48" i="6"/>
  <c r="J4" i="6"/>
  <c r="J26" i="6"/>
  <c r="J8" i="6"/>
  <c r="D44" i="7"/>
  <c r="F44" i="7" s="1"/>
  <c r="H116" i="6"/>
  <c r="J323" i="6"/>
  <c r="H323" i="6"/>
  <c r="H284" i="6"/>
  <c r="J284" i="6"/>
  <c r="J29" i="6"/>
  <c r="J17" i="6"/>
  <c r="J477" i="6"/>
  <c r="H378" i="6"/>
  <c r="D29" i="7" s="1"/>
  <c r="F29" i="7" s="1"/>
  <c r="J476" i="6"/>
  <c r="J404" i="6"/>
  <c r="J377" i="6"/>
  <c r="E29" i="7" s="1"/>
  <c r="G29" i="7" s="1"/>
  <c r="J197" i="6"/>
  <c r="J402" i="6"/>
  <c r="J287" i="6"/>
  <c r="J253" i="6"/>
  <c r="J237" i="6"/>
  <c r="J446" i="6"/>
  <c r="J117" i="6"/>
  <c r="J304" i="6"/>
  <c r="J263" i="6"/>
  <c r="I157" i="6"/>
  <c r="J157" i="6" s="1"/>
  <c r="J185" i="6"/>
  <c r="H328" i="6"/>
  <c r="J328" i="6"/>
  <c r="H59" i="6"/>
  <c r="J59" i="6"/>
  <c r="J276" i="6"/>
  <c r="H276" i="6"/>
  <c r="H102" i="6"/>
  <c r="J233" i="6"/>
  <c r="J115" i="6"/>
  <c r="J25" i="6"/>
  <c r="H134" i="6"/>
  <c r="J134" i="6"/>
  <c r="H40" i="6"/>
  <c r="J40" i="6"/>
  <c r="H84" i="6"/>
  <c r="J49" i="6"/>
  <c r="J89" i="6"/>
  <c r="D19" i="7"/>
  <c r="F19" i="7" s="1"/>
  <c r="H37" i="6"/>
  <c r="J37" i="6"/>
  <c r="I22" i="6"/>
  <c r="J22" i="6" s="1"/>
  <c r="H171" i="6"/>
  <c r="D14" i="7" s="1"/>
  <c r="F14" i="7" s="1"/>
  <c r="J171" i="6"/>
  <c r="J78" i="6"/>
  <c r="J53" i="6"/>
  <c r="D41" i="7"/>
  <c r="F41" i="7" s="1"/>
  <c r="H162" i="6"/>
  <c r="J38" i="6"/>
  <c r="J415" i="6"/>
  <c r="E34" i="7" s="1"/>
  <c r="G34" i="7" s="1"/>
  <c r="E45" i="7"/>
  <c r="G45" i="7" s="1"/>
  <c r="J374" i="6"/>
  <c r="J462" i="6"/>
  <c r="J434" i="6"/>
  <c r="H272" i="6"/>
  <c r="J310" i="6"/>
  <c r="J264" i="6"/>
  <c r="J356" i="6"/>
  <c r="E27" i="7" s="1"/>
  <c r="G27" i="7" s="1"/>
  <c r="H186" i="6"/>
  <c r="J114" i="6"/>
  <c r="J149" i="6"/>
  <c r="H392" i="6"/>
  <c r="J392" i="6"/>
  <c r="E31" i="7" s="1"/>
  <c r="G31" i="7" s="1"/>
  <c r="H379" i="6"/>
  <c r="J379" i="6"/>
  <c r="J167" i="6"/>
  <c r="H387" i="6"/>
  <c r="D30" i="7" s="1"/>
  <c r="F30" i="7" s="1"/>
  <c r="J387" i="6"/>
  <c r="J72" i="6"/>
  <c r="J209" i="6"/>
  <c r="E17" i="7" s="1"/>
  <c r="G17" i="7" s="1"/>
  <c r="J176" i="6"/>
  <c r="H176" i="6"/>
  <c r="J14" i="6"/>
  <c r="H196" i="6"/>
  <c r="D16" i="7" s="1"/>
  <c r="F16" i="7" s="1"/>
  <c r="J196" i="6"/>
  <c r="J61" i="6"/>
  <c r="J64" i="6"/>
  <c r="J34" i="6"/>
  <c r="H152" i="6"/>
  <c r="J152" i="6"/>
  <c r="E3" i="7"/>
  <c r="G3" i="7" s="1"/>
  <c r="D28" i="7"/>
  <c r="F28" i="7" s="1"/>
  <c r="J395" i="6"/>
  <c r="H90" i="6"/>
  <c r="I116" i="6"/>
  <c r="J116" i="6" s="1"/>
  <c r="E44" i="7"/>
  <c r="G44" i="7" s="1"/>
  <c r="J465" i="6"/>
  <c r="J408" i="6"/>
  <c r="H315" i="6"/>
  <c r="D24" i="7" s="1"/>
  <c r="F24" i="7" s="1"/>
  <c r="J385" i="6"/>
  <c r="J289" i="6"/>
  <c r="H175" i="6"/>
  <c r="H105" i="6"/>
  <c r="J105" i="6"/>
  <c r="J70" i="6"/>
  <c r="H70" i="6"/>
  <c r="H163" i="6"/>
  <c r="D13" i="7" s="1"/>
  <c r="F13" i="7" s="1"/>
  <c r="J163" i="6"/>
  <c r="H198" i="6"/>
  <c r="J198" i="6"/>
  <c r="J86" i="6"/>
  <c r="J62" i="6"/>
  <c r="H62" i="6"/>
  <c r="H92" i="6"/>
  <c r="J92" i="6"/>
  <c r="J188" i="6"/>
  <c r="J308" i="6"/>
  <c r="H308" i="6"/>
  <c r="D23" i="7" s="1"/>
  <c r="F23" i="7" s="1"/>
  <c r="H336" i="6"/>
  <c r="J336" i="6"/>
  <c r="H76" i="6"/>
  <c r="J76" i="6"/>
  <c r="H80" i="6"/>
  <c r="J80" i="6"/>
  <c r="D39" i="7"/>
  <c r="F39" i="7" s="1"/>
  <c r="H65" i="6"/>
  <c r="H141" i="6"/>
  <c r="J141" i="6"/>
  <c r="J56" i="6"/>
  <c r="J232" i="6"/>
  <c r="D42" i="7"/>
  <c r="F42" i="7" s="1"/>
  <c r="J454" i="6"/>
  <c r="J365" i="6"/>
  <c r="E28" i="7" s="1"/>
  <c r="G28" i="7" s="1"/>
  <c r="J216" i="6"/>
  <c r="D21" i="7"/>
  <c r="F21" i="7" s="1"/>
  <c r="J343" i="6"/>
  <c r="D34" i="7"/>
  <c r="J440" i="6"/>
  <c r="I145" i="6"/>
  <c r="J145" i="6" s="1"/>
  <c r="J107" i="6"/>
  <c r="J249" i="6"/>
  <c r="J194" i="6"/>
  <c r="H360" i="6"/>
  <c r="J360" i="6"/>
  <c r="J58" i="6"/>
  <c r="J217" i="6"/>
  <c r="H217" i="6"/>
  <c r="D18" i="7" s="1"/>
  <c r="F18" i="7" s="1"/>
  <c r="J98" i="6"/>
  <c r="J153" i="6"/>
  <c r="E13" i="7" s="1"/>
  <c r="G13" i="7" s="1"/>
  <c r="J111" i="6"/>
  <c r="H111" i="6"/>
  <c r="I65" i="6"/>
  <c r="J65" i="6" s="1"/>
  <c r="H103" i="6"/>
  <c r="J103" i="6"/>
  <c r="J87" i="6"/>
  <c r="J184" i="6"/>
  <c r="E15" i="7" s="1"/>
  <c r="G15" i="7" s="1"/>
  <c r="E25" i="7"/>
  <c r="G25" i="7" s="1"/>
  <c r="J71" i="6"/>
  <c r="H71" i="6"/>
  <c r="J124" i="6"/>
  <c r="H124" i="6"/>
  <c r="H490" i="6"/>
  <c r="E32" i="7"/>
  <c r="G32" i="7" s="1"/>
  <c r="D27" i="7"/>
  <c r="F27" i="7" s="1"/>
  <c r="J349" i="6"/>
  <c r="H254" i="6"/>
  <c r="J213" i="6"/>
  <c r="E20" i="7"/>
  <c r="G20" i="7" s="1"/>
  <c r="J280" i="6"/>
  <c r="E22" i="7" s="1"/>
  <c r="G22" i="7" s="1"/>
  <c r="J231" i="6"/>
  <c r="D17" i="7"/>
  <c r="F17" i="7" s="1"/>
  <c r="J67" i="6"/>
  <c r="H67" i="6"/>
  <c r="J94" i="6"/>
  <c r="H94" i="6"/>
  <c r="J142" i="6"/>
  <c r="H142" i="6"/>
  <c r="D12" i="7" s="1"/>
  <c r="F12" i="7" s="1"/>
  <c r="H130" i="6"/>
  <c r="J130" i="6"/>
  <c r="H173" i="6"/>
  <c r="J173" i="6"/>
  <c r="E14" i="7" s="1"/>
  <c r="G14" i="7" s="1"/>
  <c r="E9" i="7"/>
  <c r="G9" i="7" s="1"/>
  <c r="D20" i="7"/>
  <c r="F20" i="7" s="1"/>
  <c r="D32" i="7"/>
  <c r="F32" i="7" s="1"/>
  <c r="H286" i="6"/>
  <c r="J286" i="6"/>
  <c r="J60" i="6"/>
  <c r="J174" i="6"/>
  <c r="J227" i="6"/>
  <c r="E19" i="7" s="1"/>
  <c r="G19" i="7" s="1"/>
  <c r="J137" i="6"/>
  <c r="J11" i="6"/>
  <c r="H69" i="6"/>
  <c r="J69" i="6"/>
  <c r="J45" i="6"/>
  <c r="J31" i="6"/>
  <c r="E18" i="7" l="1"/>
  <c r="G18" i="7" s="1"/>
  <c r="E42" i="7"/>
  <c r="G42" i="7" s="1"/>
  <c r="D7" i="7"/>
  <c r="F7" i="7" s="1"/>
  <c r="D31" i="7"/>
  <c r="F31" i="7" s="1"/>
  <c r="D5" i="7"/>
  <c r="F5" i="7" s="1"/>
  <c r="E12" i="7"/>
  <c r="G12" i="7" s="1"/>
  <c r="E23" i="7"/>
  <c r="G23" i="7" s="1"/>
  <c r="D6" i="7"/>
  <c r="F6" i="7" s="1"/>
  <c r="E26" i="7"/>
  <c r="G26" i="7" s="1"/>
  <c r="E7" i="7"/>
  <c r="G7" i="7" s="1"/>
  <c r="E4" i="7"/>
  <c r="G4" i="7" s="1"/>
  <c r="E11" i="7"/>
  <c r="G11" i="7" s="1"/>
  <c r="E10" i="7"/>
  <c r="G10" i="7" s="1"/>
  <c r="E8" i="7"/>
  <c r="G8" i="7" s="1"/>
  <c r="D25" i="7"/>
  <c r="F25" i="7" s="1"/>
  <c r="D9" i="7"/>
  <c r="F9" i="7" s="1"/>
  <c r="D4" i="7"/>
  <c r="F4" i="7" s="1"/>
  <c r="E5" i="7"/>
  <c r="G5" i="7" s="1"/>
  <c r="D11" i="7"/>
  <c r="F11" i="7" s="1"/>
  <c r="D10" i="7"/>
  <c r="F10" i="7" s="1"/>
  <c r="D22" i="7"/>
  <c r="F22" i="7" s="1"/>
  <c r="E30" i="7"/>
  <c r="G30" i="7" s="1"/>
  <c r="D15" i="7"/>
  <c r="F15" i="7" s="1"/>
  <c r="E6" i="7"/>
  <c r="G6" i="7" s="1"/>
  <c r="E2" i="7"/>
  <c r="G2" i="7" s="1"/>
  <c r="F84" i="5"/>
  <c r="I84" i="5" s="1"/>
  <c r="G448" i="6" s="1"/>
  <c r="F34" i="7"/>
  <c r="E16" i="7"/>
  <c r="G16" i="7" s="1"/>
  <c r="D8" i="7"/>
  <c r="F8" i="7" s="1"/>
  <c r="H448" i="6" l="1"/>
  <c r="D40" i="7" s="1"/>
  <c r="F40" i="7" s="1"/>
  <c r="J448" i="6"/>
  <c r="E40" i="7" s="1"/>
  <c r="G40" i="7" s="1"/>
</calcChain>
</file>

<file path=xl/sharedStrings.xml><?xml version="1.0" encoding="utf-8"?>
<sst xmlns="http://schemas.openxmlformats.org/spreadsheetml/2006/main" count="3680" uniqueCount="703">
  <si>
    <t>Menu Item</t>
  </si>
  <si>
    <t>Category</t>
  </si>
  <si>
    <t>Menu Price (₱)</t>
  </si>
  <si>
    <t>Ingredient Cost -- As Written (₱)</t>
  </si>
  <si>
    <t>Ingredient Cost -- Oil-Adjusted (₱)</t>
  </si>
  <si>
    <t>Food Cost % -- As Written</t>
  </si>
  <si>
    <t>Food Cost % -- Oil-Adjusted</t>
  </si>
  <si>
    <t>Unli Wings - Classic Buffalo</t>
  </si>
  <si>
    <t>Unlimited Wings - 14 Flavors</t>
  </si>
  <si>
    <t>Unli Wings - Mango Habanero</t>
  </si>
  <si>
    <t>Unli Wings - Salted Egg</t>
  </si>
  <si>
    <t>Unli Wings - Lemon Glazed</t>
  </si>
  <si>
    <t>Unli Wings - Original</t>
  </si>
  <si>
    <t>Unli Wings - Korean BBQ</t>
  </si>
  <si>
    <t>Unli Wings - Garlic Parmesan</t>
  </si>
  <si>
    <t>Unli Wings - Soy Garlic</t>
  </si>
  <si>
    <t>Unli Wings - Teriyaki</t>
  </si>
  <si>
    <t>Unli Wings - Honey Sriracha</t>
  </si>
  <si>
    <t>Unli Wings - Snow Cheese</t>
  </si>
  <si>
    <t>Unlimited Wings - Premium Flavors</t>
  </si>
  <si>
    <t>Unli Wings - Panda Express Orange Chicken</t>
  </si>
  <si>
    <t>Unli Wings - Korean Yangnyeum</t>
  </si>
  <si>
    <t>Unli Wings - Cheese</t>
  </si>
  <si>
    <t>White Truffle Pasta</t>
  </si>
  <si>
    <t>Pasta</t>
  </si>
  <si>
    <t>Spicy Tuna Linguine Pesto</t>
  </si>
  <si>
    <t>Creamy Sausage Pasta</t>
  </si>
  <si>
    <t>Spicy Korean Wing Bowl</t>
  </si>
  <si>
    <t>Rice Meals &amp; Bowls - Chicken</t>
  </si>
  <si>
    <t>Chicken Salpicao</t>
  </si>
  <si>
    <t>Creamy Chicken &amp; Mushroom Alfredo</t>
  </si>
  <si>
    <t>Pork Tonkatsu</t>
  </si>
  <si>
    <t>Rice Meals &amp; Bowls - Pork</t>
  </si>
  <si>
    <t>Taiwanese Pork Chop</t>
  </si>
  <si>
    <t>Beef Tapa</t>
  </si>
  <si>
    <t>All Day Breakfast</t>
  </si>
  <si>
    <t>Hungarian Sausage</t>
  </si>
  <si>
    <t>Pork Tocino</t>
  </si>
  <si>
    <t>Spam and Egg</t>
  </si>
  <si>
    <t>Bacon and 2 Egg</t>
  </si>
  <si>
    <t>Cheesy Bacon Fries</t>
  </si>
  <si>
    <t>Starter</t>
  </si>
  <si>
    <t>Onion Rings</t>
  </si>
  <si>
    <t>Fish &amp; Chips with Tartar Sauce</t>
  </si>
  <si>
    <t>1 Pitcher Iced Tea</t>
  </si>
  <si>
    <t>Drinks and Add-ons</t>
  </si>
  <si>
    <t>1 Cup Rice</t>
  </si>
  <si>
    <t>Ranch Dip</t>
  </si>
  <si>
    <t>Sprite</t>
  </si>
  <si>
    <t>Softdrinks in Can</t>
  </si>
  <si>
    <t>Coke</t>
  </si>
  <si>
    <t>Royal</t>
  </si>
  <si>
    <t>Coke Zero</t>
  </si>
  <si>
    <t>12 pcs (2 Flavors) Ala Carte Wing Rack</t>
  </si>
  <si>
    <t>Ala Carte Wings</t>
  </si>
  <si>
    <t>6 pcs Wings (1 Flavor) with Fries &amp; Ranch Dip</t>
  </si>
  <si>
    <t>Wings Platter 6 pcs w/ Fries</t>
  </si>
  <si>
    <t>Sulit Deal-3 pcs Wings + Rice</t>
  </si>
  <si>
    <t>Super Sulit Deals</t>
  </si>
  <si>
    <t>Mango Shake (Tall)</t>
  </si>
  <si>
    <t>Fruit shake</t>
  </si>
  <si>
    <t>Banana Milk Shake (Tall)</t>
  </si>
  <si>
    <t>Blueberry Yogurt (Tall)</t>
  </si>
  <si>
    <t>Leftover Charge - Wings</t>
  </si>
  <si>
    <t>Leftover Charges</t>
  </si>
  <si>
    <t>Leftover Charge - Rice</t>
  </si>
  <si>
    <t>Leftover Charge - Fries</t>
  </si>
  <si>
    <t>Wings Platter 36 pcs (6 Flavors)</t>
  </si>
  <si>
    <t># Ingredient Lines</t>
  </si>
  <si>
    <t>Inventory Coverage</t>
  </si>
  <si>
    <t>Fully Covered (Table 4)</t>
  </si>
  <si>
    <t>n/a -- charge only</t>
  </si>
  <si>
    <t>n/a</t>
  </si>
  <si>
    <t>Standard Serving Size</t>
  </si>
  <si>
    <t>Servings Produced</t>
  </si>
  <si>
    <t>Full Ingredient Breakdown (qty + unit)</t>
  </si>
  <si>
    <t>Preparation / Cooking Method</t>
  </si>
  <si>
    <t>3 pcs fried wings</t>
  </si>
  <si>
    <t>Chicken Wings 3pc; All-Purpose Flour 22.5g; Cornstarch 15g; Baking Powder 1g; Salt 1g; Black Pepper (ground) 0.5g; Garlic Powder 0.5g; Cooking Oil 15ml; Hot Sauce 22.5ml; Butter 9g; Worcestershire Sauce 1.5ml</t>
  </si>
  <si>
    <t>Season/dredge as listed, deep-fry in the batch's cooking oil until golden and cooked through, drain, then toss/glaze/finish per the flavor's sauce.</t>
  </si>
  <si>
    <t>Chicken Wings 3pc; All-Purpose Flour 22.5g; Cornstarch 15g; Baking Powder 1g; Salt 1g; Black Pepper (ground) 0.5g; Garlic Powder 0.5g; Cooking Oil 15ml; Mango Nectar/Puree 27.5ml; Habanero Sauce 5ml; Honey 4g; Butter 4g; Vinegar (cane/white) 1.5ml</t>
  </si>
  <si>
    <t>Chicken Wings 3pc; All-Purpose Flour 22.5g; Cornstarch 15g; Baking Powder 1g; Salt 1g; Black Pepper (ground) 0.5g; Garlic Powder 0.5g; Cooking Oil 15ml; Salted Egg Yolk 1pc; Butter 7.5g; Garlic (Minced, g) 2.5g; Evaporated Milk 10ml; Chili Flakes 0.5g; Curry Leaves 1g; Curry Powder 0.1g</t>
  </si>
  <si>
    <t>Chicken Wings 3pc; All-Purpose Flour 22.5g; Cornstarch 15g; Baking Powder 1g; Salt 1g; Black Pepper (ground) 0.5g; Garlic Powder 0.5g; Cooking Oil 15ml; Lemon Juice 10ml; Lemon Zest 0.5g; Honey 9g; Butter 4g; Garlic (Minced, g) 1g; Cornstarch 1g; Water 5ml</t>
  </si>
  <si>
    <t>Chicken Wings 3pc; All-Purpose Flour 22.5g; Cornstarch 15g; Baking Powder 1g; Salt 1g; Black Pepper (ground) 0.5g; Garlic Powder 1g; Cooking Oil 15ml</t>
  </si>
  <si>
    <t>Chicken Wings 3pc; All-Purpose Flour 22.5g; Cornstarch 15g; Baking Powder 1g; Salt 1g; Black Pepper (ground) 0.5g; Garlic Powder 0.5g; Cooking Oil 15ml; Korean BBQ Sauce 22.5ml; Soy Sauce 2.5ml; Honey 4g; Garlic (Minced, g) 2g; Sesame Oil 1ml; Sesame Seeds 1g</t>
  </si>
  <si>
    <t>Chicken Wings 3pc; All-Purpose Flour 22.5g; Cornstarch 15g; Baking Powder 1g; Salt 1g; Black Pepper (ground) 0.5g; Garlic Powder 0.5g; Cooking Oil 15ml; Butter 9g; Garlic (Minced, g) 3g; Parmesan Cheese 9g; Parsley, fresh 1g; Black Pepper (ground) 0.5g</t>
  </si>
  <si>
    <t>Chicken Wings 3pc; All-Purpose Flour 22.5g; Cornstarch 15g; Baking Powder 1g; Salt 1g; Black Pepper (ground) 0.5g; Garlic Powder 0.5g; Cooking Oil 15ml; Soy Sauce 12.5ml; Honey 6g; Brown Sugar 3g; Garlic (Minced, g) 3g; Ginger 1.5g; Mirin 7.5ml; Sesame Oil 1.5ml; Sesame Seeds 1g</t>
  </si>
  <si>
    <t>Chicken Wings 3pc; All-Purpose Flour 22.5g; Cornstarch 15g; Baking Powder 1g; Salt 1g; Black Pepper (ground) 0.5g; Garlic Powder 0.5g; Cooking Oil 15ml; Soy Sauce 12.5ml; Mirin 7.5ml; Brown Sugar 6g; Ginger 1g; Garlic (Minced, g) 1g; Cornstarch 1g; Water 5ml; Sesame Seeds 1g</t>
  </si>
  <si>
    <t>Chicken Wings 3pc; All-Purpose Flour 22.5g; Cornstarch 15g; Baking Powder 1g; Salt 1g; Black Pepper (ground) 0.5g; Garlic Powder 0.5g; Cooking Oil 15ml; Sriracha Sauce 17.5ml; Honey 6g; Butter 4g; Calamansi Juice 2ml; Garlic Powder 0.5g</t>
  </si>
  <si>
    <t>Chicken Wings 3pc; All-Purpose Flour 22.5g; Cornstarch 15g; Baking Powder 1g; Salt 1g; Black Pepper (ground) 0.5g; Garlic Powder 0.5g; Cooking Oil 15ml; Cheese Powder 9g; Milk Powder 2.5g; Powdered Sugar 1.5g; Parmesan Cheese 2.5g</t>
  </si>
  <si>
    <t>Chicken Wings 3pc; All-Purpose Flour 22.5g; Cornstarch 15g; Baking Powder 1g; Salt 1g; Black Pepper (ground) 0.5g; Garlic Powder 0.5g; Cooking Oil 15ml; Orange Juice 17.5ml; Orange Zest 0.5g; Soy Sauce 4ml; Brown Sugar 6g; Rice Vinegar 2.5ml; Garlic (Minced, g) 1.5g; Ginger 1g; Cornstarch 1.5g; Water 5ml; Chili Flakes 0.5g</t>
  </si>
  <si>
    <t>Chicken Wings 3pc; All-Purpose Flour 22.5g; Cornstarch 15g; Baking Powder 1g; Salt 1g; Black Pepper (ground) 0.5g; Garlic Powder 0.5g; Cooking Oil 15ml; Gochujang 12.5g; Ketchup 7.5g; Corn Syrup 7.5g; Soy Sauce 4ml; Rice Vinegar 2ml; Garlic (Minced, g) 2g; Ginger 1g; Sesame Seeds 1g</t>
  </si>
  <si>
    <t>Chicken Wings 3pc; All-Purpose Flour 22.5g; Cornstarch 15g; Baking Powder 1g; Salt 1g; Black Pepper (ground) 0.5g; Garlic Powder 0.5g; Cooking Oil 15ml; Cheese Sauce 17.5g; Cheddar Cheese 7.5g; Fresh Milk 5ml; Butter 2.5g</t>
  </si>
  <si>
    <t>1 serving</t>
  </si>
  <si>
    <t>Pasta noodles 100g; Butter 10g; Cream 80ml; Parmesan cheese 15g; Truffle oil 3ml; Garlic 3g; Salt 1.5g; Black pepper 0.5g</t>
  </si>
  <si>
    <t>Cook pasta to al dente, prepare sauce separately, combine and finish with cheese/garnish.</t>
  </si>
  <si>
    <t>Linguine 100g; Canned tuna, drained 70g; Pesto sauce 35g; Cream 40ml; Chili flakes 1.5g; Garlic 3g; Parmesan cheese 10g; Olive/cooking oil 5ml; Salt 1g; Black pepper 0.5g</t>
  </si>
  <si>
    <t>Pasta 100g; Sausage 80g; Onion 20g; Garlic 3g; Cream 80ml; Parmesan cheese 15g; Butter 8g; Black pepper 0.5g; Salt 1g</t>
  </si>
  <si>
    <t>1 bowl</t>
  </si>
  <si>
    <t>Chicken Wings 3pc; All-Purpose Flour 15g; Cornstarch 15g; Salt 2g; Black Pepper 0.5g; Garlic Powder 1g; Cooking Oil 250ml; Gochujang 20g; Ketchup 15g; Soy Sauce 10ml; Honey 10g; Rice Vinegar 5ml; Garlic 1clove; Ginger 3g; Sesame Oil 3ml; Cooked White Rice 180g; Kimchi 35g; Cucumber 30g; Egg 1pc; Sesame Seeds 1g; Spring Onion 5g</t>
  </si>
  <si>
    <t>Cook protein and toppings per their own method, plate over cooked white rice, top with garnish.</t>
  </si>
  <si>
    <t>Chicken, boneless 140g; Soy Sauce 8ml; Oyster Sauce 8ml; Worcestershire Sauce 8ml; Brown Sugar 2g; Garlic, Minced 2cloves; Garlic, Sliced/Crispy 2cloves; Butter 8g; Cooking Oil 10ml; Black Pepper 0.5g; Salt 0.5g; Mushroom, Sliced 30g; Red Chili / Finger Chili 5g; Parsley 2g; Cooked White Rice 180g</t>
  </si>
  <si>
    <t>Chicken, Boneless 120g; Fettuccine Pasta 80g; Mushroom, Sliced 50g; Butter 10g; Cooking Oil 5ml; Garlic, Minced 2cloves; All-Purpose Cream 80ml; Parmesan Cheese 15g; Mozzarella Cheese 10g; All-Purpose Flour 5g; Chicken Stock 30ml; Salt 1g; Black Pepper 0.5g; Parsley 2g</t>
  </si>
  <si>
    <t>Pork Loin / Pork Chop, Boneless 150g; Salt 1g; Black Pepper 0.5g; All-Purpose Flour 25g; Egg 1pc; Cooking Oil for Egg Wash 8ml; Panko Breadcrumbs 50g; Cooking Oil 300ml; Cooked White Rice 180g; Cabbage, Shredded 50g; Tonkatsu Sauce 30g; Ketchup 15g; Worcestershire Sauce 10ml; Oyster Sauce 5ml; Soy Sauce 5ml; Sugar 5g; Garlic 1clove; Ginger, Ground 0.5g; Mustard 5g; Lemon/Calamansi 1pc</t>
  </si>
  <si>
    <t>Pork Loin / Pork Chop 150g; Light Soy Sauce 15ml; Chinese Rice Wine / Cooking Rice Wine 10ml; Brown Sugar 5g; Garlic, Minced 2cloves; Five-Spice Powder 1g; White Pepper 0.5g; Black Pepper 0.5g; Salt 0.5g; Cornstarch 5g; Sweet Potato Starch 30g; Cooking Oil 300ml; Cooked White Rice 180g; Pickled Mustard Greens 30g; Cabbage / Stir-Fried Vegetables 50g; Water (for starch paste) 35ml</t>
  </si>
  <si>
    <t>1 serving (served with 2 eggs)</t>
  </si>
  <si>
    <t>Beef Sirloin, thinly sliced 100g; Soy Sauce 15ml; Calamansi Juice 10ml; Brown Sugar 5g; Garlic, Minced 2cloves; Salt 1g; Black Pepper 0.5g; Baking Soda 0.5g; Cooking Oil 10ml; Cooked White Rice 180g; Garlic for Fried Rice 2cloves; Cooking Oil for Fried Rice 10ml; Salt for Fried Rice 1g; Black Pepper for Fried Rice 0.2g; Egg 2pc; Cooking Oil for Egg 10ml; Vinegar 15ml</t>
  </si>
  <si>
    <t>Cook the protein, prepare garlic fried rice, fry the eggs, plate together with a vinegar dip on the side.</t>
  </si>
  <si>
    <t>Hungarian Sausage 100g; Cooking Oil 10ml; Cooked White Rice 180g; Garlic, Minced 2cloves; Cooking Oil for Fried Rice 10ml; Salt 1g; Black Pepper 0.5g; Soy Sauce 5ml; Egg 2pc; Cooking Oil for Egg 5ml; Spring Onion 5g; Vinegar 15ml</t>
  </si>
  <si>
    <t>Pork Tocino 100g; Water (for simmering) 30ml; Cooking Oil 5ml; Cooked White Rice 180g; Garlic, Minced 2cloves; Cooking Oil for Fried Rice 10ml; Salt 1g; Black Pepper 0.5g; Soy Sauce 5ml; Egg 2pc; Cooking Oil for Egg 5ml; Spring Onion 5g; Vinegar 15ml</t>
  </si>
  <si>
    <t>Spam 100g; Cooking Oil 5ml; Cooked White Rice 180g; Garlic, Minced 2cloves; Cooking Oil for Fried Rice 10ml; Salt 1g; Black Pepper 0.5g; Soy Sauce 5ml; Egg 2pc; Cooking Oil for Egg 5ml; Spring Onion 5g; Vinegar 15ml</t>
  </si>
  <si>
    <t>Bacon 80g; Cooking Oil 5ml; Cooked White Rice 180g; Garlic, Minced 2cloves; Cooking Oil for Fried Rice 10ml; Salt 1g; Black Pepper 0.5g; Soy Sauce 5ml; Egg 2pc; Cooking Oil for Egg 5ml; Spring Onion 5g; Vinegar 15ml</t>
  </si>
  <si>
    <t>Frozen French Fries 180g; Cooking Oil 15ml; Bacon 30g; Cheese Sauce 50g; Cheddar Cheese, Grated 20g; Spring Onion 5g</t>
  </si>
  <si>
    <t>Prepare/fry/assemble per the ingredient list; see Table 2 for sourced technique notes.</t>
  </si>
  <si>
    <t>Onion 120g; All-Purpose Flour 40g; Cornstarch 20g; Baking Powder 2g; Salt 2g; Black Pepper 1g; Paprika 1g; Egg 1pc; Breadcrumbs 40g; Cooking Oil 20ml</t>
  </si>
  <si>
    <t>White Fish Fillet 150g; All-Purpose Flour 50g; Cornstarch 20g; Baking Powder 3g; Salt 2g; Black Pepper 1g; Cold Water 110ml; Frozen French Fries 180g; Cooking Oil 30ml; Mayonnaise 30g; Pickle Relish 10g; Lemon Juice 5ml; Salt 0.5g; Black Pepper 0.5g</t>
  </si>
  <si>
    <t>1 pitcher</t>
  </si>
  <si>
    <t>Water 1000ml; Black Tea Bag 2pc; White Sugar 80g; Ice 300g; Lemon Juice 15ml</t>
  </si>
  <si>
    <t>Combine/blend ingredients as listed and serve chilled.</t>
  </si>
  <si>
    <t>1 cup</t>
  </si>
  <si>
    <t>Cooked White Rice 150g</t>
  </si>
  <si>
    <t>1 side serving</t>
  </si>
  <si>
    <t>Mayonnaise 20g; Fresh Milk 10ml; Garlic Powder 0.5g; Onion Powder 0.5g; Dried Parsley 0.5g; Salt 0.3g; Black Pepper 0.2g</t>
  </si>
  <si>
    <t>1 can</t>
  </si>
  <si>
    <t>Sprite 1can</t>
  </si>
  <si>
    <t>Coke 1can</t>
  </si>
  <si>
    <t>Royal 1can</t>
  </si>
  <si>
    <t>Coke Zero 1can</t>
  </si>
  <si>
    <t>12 pcs wings + ranch dip</t>
  </si>
  <si>
    <t>Chicken Wings 12pcs; All-Purpose Flour 60g; Cornstarch 30g; Salt 3g; Black Pepper 1g; Garlic Powder 2g; Paprika 2g; Cooking Oil 60ml; Mayonnaise 20g; Fresh Milk 10ml; Garlic Powder 0.5g; Onion Powder 0.5g; Dried Parsley 0.5g; Salt 0.3g; Black Pepper 0.2g</t>
  </si>
  <si>
    <t>6 pcs wings + fries + ranch dip</t>
  </si>
  <si>
    <t>Chicken Wings 6pcs; All-Purpose Flour 30g; Cornstarch 15g; Salt 2g; Black Pepper 0.5g; Garlic Powder 1g; Paprika 1g; Cooking Oil 30ml; Wing Sauce (Selected Flavor) 30g; Frozen French Fries 120g; Cooking Oil for Fries 15ml; Ranch Dip 30ml</t>
  </si>
  <si>
    <t>6 pcs wings + fries</t>
  </si>
  <si>
    <t>Chicken Wings 6pcs; All-Purpose Flour 30g; Cornstarch 15g; Salt 2g; Black Pepper 0.5g; Garlic Powder 1g; Paprika 1g; Cooking Oil 30ml; Wing Sauce (Selected Flavor) 30g; Frozen French Fries 120g; Cooking Oil for Fries 15ml</t>
  </si>
  <si>
    <t>3 pcs wings + 1 cup rice</t>
  </si>
  <si>
    <t>Chicken Wings 3pcs; All-Purpose Flour 15g; Cornstarch 7.5g; Salt 1g; Black Pepper 0.25g; Garlic Powder 0.5g; Paprika 0.5g; Cooking Oil 15ml; Wing Sauce (Selected Flavor) 15g; Cooked White Rice 150g</t>
  </si>
  <si>
    <t>1 tall shake</t>
  </si>
  <si>
    <t>Ripe Mango 120g; Fresh Milk 120ml; Ice 150g; White Sugar 15g</t>
  </si>
  <si>
    <t>Banana 100g; Fresh Milk 180ml; Ice 120g; White Sugar 10g</t>
  </si>
  <si>
    <t>Blueberry Syrup 30ml; Plain Yogurt 120g; Fresh Milk 80ml; Ice 120g; White Sugar 5g</t>
  </si>
  <si>
    <t>per unfinished portion</t>
  </si>
  <si>
    <t>None -- charge only (food already deducted by the Unlimited Wings order)</t>
  </si>
  <si>
    <t>36 pcs wings (6 flavors) + fries</t>
  </si>
  <si>
    <t>Chicken Wings 36pcs; All-Purpose Flour 180g; Cornstarch 90g; Salt 12g; Black Pepper 3g; Garlic Powder 6g; Paprika 6g; Cooking Oil 180ml; Wing Sauce (Selected Flavors, 30g x 6) 180g; Frozen French Fries 720g; Cooking Oil for Fries 90ml</t>
  </si>
  <si>
    <t>Season/dredge as listed, deep-fry in the batch's cooking oil until golden and cooked through, drain, then toss/glaze/finish each 6-wing group in its own chosen flavor's sauce.</t>
  </si>
  <si>
    <t>Ingredient ID</t>
  </si>
  <si>
    <t>Ingredient Name</t>
  </si>
  <si>
    <t>Specification</t>
  </si>
  <si>
    <t>Purchase Unit</t>
  </si>
  <si>
    <t>Purchase Price (₱)</t>
  </si>
  <si>
    <t>Base Unit</t>
  </si>
  <si>
    <t>Base Qty per Purchase</t>
  </si>
  <si>
    <t>Cost per Base Unit (₱)</t>
  </si>
  <si>
    <t>Menu Items Using</t>
  </si>
  <si>
    <t>Storage Requirement</t>
  </si>
  <si>
    <t>Shelf Life (Unopened/Sealed)</t>
  </si>
  <si>
    <t>Shelf Life (Opened/Prepped)</t>
  </si>
  <si>
    <t>Inventory Status</t>
  </si>
  <si>
    <t>ING-001</t>
  </si>
  <si>
    <t>All-Purpose Cream</t>
  </si>
  <si>
    <t>Dairy</t>
  </si>
  <si>
    <t>Dairy cream, UHT, food-service (all-purpose cream, ~25-30% fat -- NOT heavy/whipping cream, ~36%+ fat). Selected as the initial default for every recipe's generic "Cream" line (White Truffle Pasta, Spicy Tuna Linguine Pesto, Creamy Sausage Pasta) as well as Creamy Chicken &amp; Mushroom Alfredo's own explicitly-named "All-Purpose Cream": all-purpose cream (e.g. Nestle All Purpose Cream, Alaska Crema) is the standard, shelf-stable cream used in Filipino/Filipino-Italian food-service kitchens for cream sauces, versus imported dairy heavy cream which is costlier and less commonly stocked. This is an EDITABLE initial default, not a confirmed Wings Theory product -- if the kitchen actually uses heavy/whipping cream or another product, update this row directly; the system does not silently substitute once the real product is confirmed.</t>
  </si>
  <si>
    <t>can/tetra (250ml)</t>
  </si>
  <si>
    <t>ml</t>
  </si>
  <si>
    <t>Creamy Chicken &amp; Mushroom Alfredo, Creamy Sausage Pasta, Spicy Tuna Linguine Pesto, White Truffle Pasta</t>
  </si>
  <si>
    <t>Ambient (dry storage)</t>
  </si>
  <si>
    <t>9-12 months (printed date)</t>
  </si>
  <si>
    <t>Opened: refrigerate, 3-4 days</t>
  </si>
  <si>
    <t>Existing</t>
  </si>
  <si>
    <t>ING-002</t>
  </si>
  <si>
    <t>All-Purpose Flour</t>
  </si>
  <si>
    <t>Dry Goods</t>
  </si>
  <si>
    <t>Wheat flour, all-purpose</t>
  </si>
  <si>
    <t>kg</t>
  </si>
  <si>
    <t>g</t>
  </si>
  <si>
    <t>12 pcs (2 Flavors) Ala Carte Wing Rack, 6 pcs Wings (1 Flavor) with Fries &amp; Ranch Dip, Creamy Chicken &amp; Mushroom Alfredo, Fish &amp; Chips with Tartar Sauce, Onion Rings, Pork Tonkatsu, Spicy Korean Wing Bowl, Sulit Deal-3 pcs Wings + Rice,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Teriyaki, Wings Platter 6 pcs w/ Fries, Wings Platter 36 pcs (6 Flavors)</t>
  </si>
  <si>
    <t>Dry, sealed, ambient</t>
  </si>
  <si>
    <t>9-12 months</t>
  </si>
  <si>
    <t>Opened: reseal airtight, 2-3 months</t>
  </si>
  <si>
    <t>ING-003</t>
  </si>
  <si>
    <t>Bacon</t>
  </si>
  <si>
    <t>Meat</t>
  </si>
  <si>
    <t>Cured pork bacon, sliced</t>
  </si>
  <si>
    <t>Bacon and 2 Egg, Cheesy Bacon Fries</t>
  </si>
  <si>
    <t>Chilled 0-4°C</t>
  </si>
  <si>
    <t>Per pack date (~30-45 days)</t>
  </si>
  <si>
    <t>Opened: 7 days chilled</t>
  </si>
  <si>
    <t>ING-004</t>
  </si>
  <si>
    <t>Baking Powder</t>
  </si>
  <si>
    <t>Double-acting baking powder</t>
  </si>
  <si>
    <t>Fish &amp; Chips with Tartar Sauce, Onion Rings,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</t>
  </si>
  <si>
    <t>12-18 months (printed date)</t>
  </si>
  <si>
    <t>Opened: 6 months</t>
  </si>
  <si>
    <t>ING-005</t>
  </si>
  <si>
    <t>Baking Soda</t>
  </si>
  <si>
    <t>Sodium bicarbonate, food grade</t>
  </si>
  <si>
    <t>18-24 months</t>
  </si>
  <si>
    <t>ING-006</t>
  </si>
  <si>
    <t>Banana</t>
  </si>
  <si>
    <t>Produce</t>
  </si>
  <si>
    <t>Saba/Latundan, ripe</t>
  </si>
  <si>
    <t>Ambient/Chilled</t>
  </si>
  <si>
    <t>3-7 days (ripening dependent)</t>
  </si>
  <si>
    <t>ING-007</t>
  </si>
  <si>
    <t>Beef Sirloin</t>
  </si>
  <si>
    <t>Beef sirloin, thinly sliced for tapa</t>
  </si>
  <si>
    <t>Frozen -18°C</t>
  </si>
  <si>
    <t>4-6 months</t>
  </si>
  <si>
    <t>Thawed: use within 24 hrs</t>
  </si>
  <si>
    <t>ING-008</t>
  </si>
  <si>
    <t>Black Pepper (ground)</t>
  </si>
  <si>
    <t>Spices</t>
  </si>
  <si>
    <t>Ground black pepper</t>
  </si>
  <si>
    <t>12 pcs (2 Flavors) Ala Carte Wing Rack, 6 pcs Wings (1 Flavor) with Fries &amp; Ranch Dip, Bacon and 2 Egg, Beef Tapa, Chicken Salpicao, Creamy Chicken &amp; Mushroom Alfredo, Creamy Sausage Pasta, Fish &amp; Chips with Tartar Sauce, Hungarian Sausage, Onion Rings, Pork Tocino, Pork Tonkatsu, Ranch Dip, Spam and Egg, Spicy Korean Wing Bowl, Spicy Tuna Linguine Pesto, Sulit Deal-3 pcs Wings + Rice, Taiwanese Pork Chop,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Teriyaki, White Truffle Pasta, Wings Platter 6 pcs w/ Fries, Wings Platter 36 pcs (6 Flavors)</t>
  </si>
  <si>
    <t>24-36 months whole; 12-18 ground</t>
  </si>
  <si>
    <t>Opened: 12 months</t>
  </si>
  <si>
    <t>Consolidated</t>
  </si>
  <si>
    <t>ING-009</t>
  </si>
  <si>
    <t>Black Tea Bag</t>
  </si>
  <si>
    <t>Beverages</t>
  </si>
  <si>
    <t>Black tea, individually bagged</t>
  </si>
  <si>
    <t>box (25pcs)</t>
  </si>
  <si>
    <t>pc</t>
  </si>
  <si>
    <t>18-24 months (printed date)</t>
  </si>
  <si>
    <t>Opened: 6-12 months</t>
  </si>
  <si>
    <t>ING-010</t>
  </si>
  <si>
    <t>Blueberry Syrup</t>
  </si>
  <si>
    <t>Blueberry flavoring syrup, food-service</t>
  </si>
  <si>
    <t>L</t>
  </si>
  <si>
    <t>Ambient before opening</t>
  </si>
  <si>
    <t>2 years unopened</t>
  </si>
  <si>
    <t>Opened: 6-12 months, refrigerate</t>
  </si>
  <si>
    <t>ING-011</t>
  </si>
  <si>
    <t>Breadcrumbs (Regular)</t>
  </si>
  <si>
    <t>Plain dried breadcrumbs</t>
  </si>
  <si>
    <t>6-9 months</t>
  </si>
  <si>
    <t>Opened: reseal airtight, 1-2 months</t>
  </si>
  <si>
    <t>ING-012</t>
  </si>
  <si>
    <t>Brown Sugar</t>
  </si>
  <si>
    <t>Brown/muscovado sugar</t>
  </si>
  <si>
    <t>Beef Tapa, Chicken Salpicao, Taiwanese Pork Chop, Unli Wings - Panda Express Orange Chicken, Unli Wings - Soy Garlic, Unli Wings - Teriyaki</t>
  </si>
  <si>
    <t>Opened: reseal airtight</t>
  </si>
  <si>
    <t>ING-013</t>
  </si>
  <si>
    <t>Butter</t>
  </si>
  <si>
    <t>Unsalted butter, food-service</t>
  </si>
  <si>
    <t>Chicken Salpicao, Creamy Chicken &amp; Mushroom Alfredo, Creamy Sausage Pasta, Unli Wings - Cheese, Unli Wings - Classic Buffalo, Unli Wings - Garlic Parmesan, Unli Wings - Honey Sriracha, Unli Wings - Lemon Glazed, Unli Wings - Mango Habanero, Unli Wings - Salted Egg, White Truffle Pasta</t>
  </si>
  <si>
    <t>Chilled 0-4°C / Frozen</t>
  </si>
  <si>
    <t>2-3 months chilled</t>
  </si>
  <si>
    <t>Opened: 2-3 weeks chilled</t>
  </si>
  <si>
    <t>ING-014</t>
  </si>
  <si>
    <t>Cabbage</t>
  </si>
  <si>
    <t>Fresh cabbage, for shredding</t>
  </si>
  <si>
    <t>1-2 weeks</t>
  </si>
  <si>
    <t>Cut/shredded: 2-3 days chilled</t>
  </si>
  <si>
    <t>ING-015</t>
  </si>
  <si>
    <t>Calamansi Juice</t>
  </si>
  <si>
    <t>Condiments</t>
  </si>
  <si>
    <t>Calamansi/lime juice, fresh or bottled</t>
  </si>
  <si>
    <t>Beef Tapa, Pork Tonkatsu, Unli Wings - Honey Sriracha</t>
  </si>
  <si>
    <t>Chilled after opening</t>
  </si>
  <si>
    <t>12 months unopened (bottled)</t>
  </si>
  <si>
    <t>Opened: 1-2 weeks chilled</t>
  </si>
  <si>
    <t>ING-016</t>
  </si>
  <si>
    <t>Canned Tuna (in oil)</t>
  </si>
  <si>
    <t>Meat/Seafood</t>
  </si>
  <si>
    <t>Canned tuna flakes in oil, drained weight basis</t>
  </si>
  <si>
    <t>can (180g)</t>
  </si>
  <si>
    <t>Ambient, sealed</t>
  </si>
  <si>
    <t>2-3 years (printed date)</t>
  </si>
  <si>
    <t>Opened: refrigerate, use within 2-3 days</t>
  </si>
  <si>
    <t>Added</t>
  </si>
  <si>
    <t>ING-017</t>
  </si>
  <si>
    <t>Cheddar Cheese</t>
  </si>
  <si>
    <t>Cheddar cheese, block or grated</t>
  </si>
  <si>
    <t>Cheesy Bacon Fries, Unli Wings - Cheese</t>
  </si>
  <si>
    <t>3-6 months unopened block</t>
  </si>
  <si>
    <t>Opened/grated: 1-2 weeks</t>
  </si>
  <si>
    <t>ING-018</t>
  </si>
  <si>
    <t>Cheese Powder</t>
  </si>
  <si>
    <t>Cheddar/nacho cheese powder, food-service</t>
  </si>
  <si>
    <t>12 months (printed date)</t>
  </si>
  <si>
    <t>Opened: reseal, 2 months</t>
  </si>
  <si>
    <t>ING-019</t>
  </si>
  <si>
    <t>Cheese Sauce</t>
  </si>
  <si>
    <t>Nacho/cheese dip base sauce</t>
  </si>
  <si>
    <t>6-12 months unopened</t>
  </si>
  <si>
    <t>Opened: 5-7 days chilled</t>
  </si>
  <si>
    <t>ING-020</t>
  </si>
  <si>
    <t>Chicken Stock</t>
  </si>
  <si>
    <t>Liquid or cube-based chicken stock</t>
  </si>
  <si>
    <t>18-24 months (cubes)</t>
  </si>
  <si>
    <t>Opened liquid: 4-5 days chilled</t>
  </si>
  <si>
    <t>ING-021</t>
  </si>
  <si>
    <t>Chicken Wings</t>
  </si>
  <si>
    <t>Whole wings (drumette+flat), fresh/frozen; ~60g/pc avg raw weight. OWNER DECISION: use whole PIECE as the unit throughout -- purchasing, stock-on-hand, and recipe deduction are all tracked as actual piece counts, not weight. Stock on hand = actual piece count (physically counted), not a kg-to-pieces estimate. A 6-piece meal deducts exactly 6 pcs; a 12-piece meal deducts exactly 12 pcs. The per-piece price below is a costing reference derived from the ~kg market rate (PHP 230/kg / ~16.7 pcs per kg); if Wings Theory's supplier instead quotes a per-piece cost, replace this price directly with that quote.</t>
  </si>
  <si>
    <t>12 pcs (2 Flavors) Ala Carte Wing Rack, 6 pcs Wings (1 Flavor) with Fries &amp; Ranch Dip, Spicy Korean Wing Bowl, Sulit Deal-3 pcs Wings + Rice,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Teriyaki, Wings Platter 6 pcs w/ Fries, Wings Platter 36 pcs (6 Flavors)</t>
  </si>
  <si>
    <t>ING-022</t>
  </si>
  <si>
    <t>Chicken, Boneless</t>
  </si>
  <si>
    <t>Boneless chicken breast/thigh, cubed</t>
  </si>
  <si>
    <t>Chicken Salpicao, Creamy Chicken &amp; Mushroom Alfredo</t>
  </si>
  <si>
    <t>ING-023</t>
  </si>
  <si>
    <t>Chili Flakes</t>
  </si>
  <si>
    <t>Crushed red chili flakes</t>
  </si>
  <si>
    <t>Spicy Tuna Linguine Pesto, Unli Wings - Panda Express Orange Chicken, Unli Wings - Salted Egg</t>
  </si>
  <si>
    <t>24 months</t>
  </si>
  <si>
    <t>ING-024</t>
  </si>
  <si>
    <t>Chinese Rice Wine (Shaoxing)</t>
  </si>
  <si>
    <t>Shaoxing cooking wine</t>
  </si>
  <si>
    <t>2-3 years</t>
  </si>
  <si>
    <t>ING-025</t>
  </si>
  <si>
    <t>Coke (Can)</t>
  </si>
  <si>
    <t>Coca-Cola, 330ml can</t>
  </si>
  <si>
    <t>can (330ml)</t>
  </si>
  <si>
    <t>can</t>
  </si>
  <si>
    <t>6-9 months (printed date)</t>
  </si>
  <si>
    <t>ING-026</t>
  </si>
  <si>
    <t>Cooked White Rice</t>
  </si>
  <si>
    <t>Well-milled rice, raw weight basis for cooked yield</t>
  </si>
  <si>
    <t>1 Cup Rice, Bacon and 2 Egg, Beef Tapa, Chicken Salpicao, Hungarian Sausage, Pork Tocino, Pork Tonkatsu, Spam and Egg, Spicy Korean Wing Bowl, Sulit Deal-3 pcs Wings + Rice, Taiwanese Pork Chop</t>
  </si>
  <si>
    <t>Dry (raw); Chilled (cooked)</t>
  </si>
  <si>
    <t>12+ months raw</t>
  </si>
  <si>
    <t>Cooked: 1 day chilled max</t>
  </si>
  <si>
    <t>ING-027</t>
  </si>
  <si>
    <t>Cooking Oil</t>
  </si>
  <si>
    <t>Oils</t>
  </si>
  <si>
    <t>Palm/vegetable cooking oil -- used for ALL deep-frying and pan-frying across the menu (wings, fries, egg wash, fried rice, tonkatsu, onion rings, etc.), the standard cost-effective commercial frying oil in PH food service. Kept as a separate SKU from Olive Oil, which is used only in the 3 Pasta dishes (a distinct product, not interchangeable for frying). This is an EDITABLE initial default -- if the kitchen uses a specific brand or a different oil type for frying, update this row directly; the system does not silently substitute once the real product is confirmed.</t>
  </si>
  <si>
    <t>12 pcs (2 Flavors) Ala Carte Wing Rack, 6 pcs Wings (1 Flavor) with Fries &amp; Ranch Dip, Bacon and 2 Egg, Beef Tapa, Cheesy Bacon Fries, Chicken Salpicao, Creamy Chicken &amp; Mushroom Alfredo, Fish &amp; Chips with Tartar Sauce, Hungarian Sausage, Onion Rings, Pork Tocino, Pork Tonkatsu, Spam and Egg, Spicy Korean Wing Bowl, Sulit Deal-3 pcs Wings + Rice, Taiwanese Pork Chop,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Teriyaki, Wings Platter 6 pcs w/ Fries, Wings Platter 36 pcs (6 Flavors)</t>
  </si>
  <si>
    <t>Cool, dark, ambient</t>
  </si>
  <si>
    <t>Opened: 3-6 months</t>
  </si>
  <si>
    <t>ING-028</t>
  </si>
  <si>
    <t>Corn Syrup</t>
  </si>
  <si>
    <t>Light corn syrup / honey substitute</t>
  </si>
  <si>
    <t>ING-029</t>
  </si>
  <si>
    <t>Cornstarch</t>
  </si>
  <si>
    <t>Cornstarch, food-service</t>
  </si>
  <si>
    <t>12 pcs (2 Flavors) Ala Carte Wing Rack, 6 pcs Wings (1 Flavor) with Fries &amp; Ranch Dip, Fish &amp; Chips with Tartar Sauce, Onion Rings, Spicy Korean Wing Bowl, Sulit Deal-3 pcs Wings + Rice, Taiwanese Pork Chop,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Teriyaki, Wings Platter 6 pcs w/ Fries, Wings Platter 36 pcs (6 Flavors)</t>
  </si>
  <si>
    <t>12-18 months</t>
  </si>
  <si>
    <t>Opened: reseal airtight, 6 months</t>
  </si>
  <si>
    <t>ING-030</t>
  </si>
  <si>
    <t>Cucumber</t>
  </si>
  <si>
    <t>Fresh cucumber</t>
  </si>
  <si>
    <t>5-7 days</t>
  </si>
  <si>
    <t>Cut: 1-2 days chilled</t>
  </si>
  <si>
    <t>ING-031</t>
  </si>
  <si>
    <t>Curry Leaves</t>
  </si>
  <si>
    <t>Fresh curry leaves</t>
  </si>
  <si>
    <t>pack (50g)</t>
  </si>
  <si>
    <t>5-7 days fresh</t>
  </si>
  <si>
    <t>ING-032</t>
  </si>
  <si>
    <t>Curry Powder</t>
  </si>
  <si>
    <t>Curry powder blend</t>
  </si>
  <si>
    <t>ING-033</t>
  </si>
  <si>
    <t>Dried Parsley</t>
  </si>
  <si>
    <t>Dried parsley flakes</t>
  </si>
  <si>
    <t>12 pcs (2 Flavors) Ala Carte Wing Rack, Ranch Dip</t>
  </si>
  <si>
    <t>ING-034</t>
  </si>
  <si>
    <t>Egg</t>
  </si>
  <si>
    <t>Dairy/Eggs</t>
  </si>
  <si>
    <t>Fresh chicken egg, medium</t>
  </si>
  <si>
    <t>Bacon and 2 Egg, Beef Tapa, Hungarian Sausage, Onion Rings, Pork Tocino, Pork Tonkatsu, Spam and Egg, Spicy Korean Wing Bowl</t>
  </si>
  <si>
    <t>3-5 weeks from pack date</t>
  </si>
  <si>
    <t>ING-035</t>
  </si>
  <si>
    <t>Evaporated Milk</t>
  </si>
  <si>
    <t>Evaporated milk, canned</t>
  </si>
  <si>
    <t>can (370ml)</t>
  </si>
  <si>
    <t>ING-036</t>
  </si>
  <si>
    <t>Fettuccine Pasta</t>
  </si>
  <si>
    <t>Dried fettuccine pasta. Selected as the initial default pasta for White Truffle Pasta and Creamy Sausage Pasta -- both source recipes named only a generic "Pasta"/"Pasta noodles" ingredient, not a specific cut. Fettuccine's wide, flat ribbon holds a cream/truffle-butter sauce and clings to sausage crumbles better than a thin strand pasta, matching how these two dishes are described. This is an EDITABLE initial default, not a confirmed Wings Theory product -- if the kitchen actually uses a different cut (e.g. penne, spaghetti), update this row directly; the system does not silently substitute once the real product is confirmed.</t>
  </si>
  <si>
    <t>Creamy Chicken &amp; Mushroom Alfredo, Creamy Sausage Pasta, White Truffle Pasta</t>
  </si>
  <si>
    <t>ING-037</t>
  </si>
  <si>
    <t>Five-Spice Powder</t>
  </si>
  <si>
    <t>Chinese five-spice blend</t>
  </si>
  <si>
    <t>ING-038</t>
  </si>
  <si>
    <t>Fresh Milk</t>
  </si>
  <si>
    <t>Fresh pasteurized milk</t>
  </si>
  <si>
    <t>12 pcs (2 Flavors) Ala Carte Wing Rack, Banana Milk Shake (Tall), Blueberry Yogurt (Tall), Mango Shake (Tall), Ranch Dip, Unli Wings - Cheese</t>
  </si>
  <si>
    <t>Per printed date (~10-14 days)</t>
  </si>
  <si>
    <t>Opened: 3-5 days</t>
  </si>
  <si>
    <t>ING-039</t>
  </si>
  <si>
    <t>Frozen French Fries</t>
  </si>
  <si>
    <t>Frozen shoestring/crinkle fries</t>
  </si>
  <si>
    <t>6 pcs Wings (1 Flavor) with Fries &amp; Ranch Dip, Cheesy Bacon Fries, Fish &amp; Chips with Tartar Sauce, Wings Platter 6 pcs w/ Fries, Wings Platter 36 pcs (6 Flavors)</t>
  </si>
  <si>
    <t>Thawed: cook same day</t>
  </si>
  <si>
    <t>ING-040</t>
  </si>
  <si>
    <t>Garlic (Whole/Crushed, Cloves)</t>
  </si>
  <si>
    <t>Fresh garlic tracked by CLOVE COUNT for any recipe that specifies a number of cloves (whole, crushed, or minced-by-clove-count) -- e.g. 'Garlic, Minced 2 cloves'. No automatic clove-to-gram conversion is applied to these recipe lines; the system deducts the exact clove count written in the recipe. The per-clove cost below is a COSTING-ONLY estimate (avg. ~5g/clove, ~200 cloves/kg) used solely to price this SKU from the kg market rate -- it is never used to convert a recipe's clove quantity into grams.</t>
  </si>
  <si>
    <t>clove</t>
  </si>
  <si>
    <t>Bacon and 2 Egg, Beef Tapa, Chicken Salpicao, Creamy Chicken &amp; Mushroom Alfredo, Hungarian Sausage, Pork Tocino, Pork Tonkatsu, Spam and Egg, Spicy Korean Wing Bowl, Taiwanese Pork Chop</t>
  </si>
  <si>
    <t>Cool, dry, ventilated</t>
  </si>
  <si>
    <t>3-4 weeks</t>
  </si>
  <si>
    <t>Peeled/minced: 3-5 days chilled</t>
  </si>
  <si>
    <t>ING-041</t>
  </si>
  <si>
    <t>Garlic (Minced, g)</t>
  </si>
  <si>
    <t>Fresh garlic tracked by WEIGHT (grams) for any recipe that specifies a gram quantity directly (e.g. wing-flavor sauces calling for 'Garlic 5g') rather than a clove count. Kept as a separate SKU from clove-counted garlic so the same physical ingredient is never deducted twice in two different units for one recipe.</t>
  </si>
  <si>
    <t>Creamy Sausage Pasta, Spicy Tuna Linguine Pesto, Unli Wings - Garlic Parmesan, Unli Wings - Korean BBQ, Unli Wings - Korean Yangnyeum, Unli Wings - Lemon Glazed, Unli Wings - Panda Express Orange Chicken, Unli Wings - Salted Egg, Unli Wings - Soy Garlic, Unli Wings - Teriyaki, White Truffle Pasta</t>
  </si>
  <si>
    <t>ING-042</t>
  </si>
  <si>
    <t>Garlic Powder</t>
  </si>
  <si>
    <t>Dehydrated garlic powder</t>
  </si>
  <si>
    <t>12 pcs (2 Flavors) Ala Carte Wing Rack, 6 pcs Wings (1 Flavor) with Fries &amp; Ranch Dip, Ranch Dip, Spicy Korean Wing Bowl, Sulit Deal-3 pcs Wings + Rice,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Teriyaki, Wings Platter 6 pcs w/ Fries, Wings Platter 36 pcs (6 Flavors)</t>
  </si>
  <si>
    <t>24-36 months</t>
  </si>
  <si>
    <t>Opened: 12-18 months</t>
  </si>
  <si>
    <t>ING-043</t>
  </si>
  <si>
    <t>Ginger</t>
  </si>
  <si>
    <t>Fresh ginger root</t>
  </si>
  <si>
    <t>Spicy Korean Wing Bowl, Unli Wings - Korean Yangnyeum, Unli Wings - Panda Express Orange Chicken, Unli Wings - Soy Garlic, Unli Wings - Teriyaki</t>
  </si>
  <si>
    <t>2-3 weeks</t>
  </si>
  <si>
    <t>Sliced: 3-5 days chilled</t>
  </si>
  <si>
    <t>ING-044</t>
  </si>
  <si>
    <t>Ginger, Ground</t>
  </si>
  <si>
    <t>Dried ground ginger</t>
  </si>
  <si>
    <t>ING-045</t>
  </si>
  <si>
    <t>Gochujang</t>
  </si>
  <si>
    <t>Korean fermented chili paste</t>
  </si>
  <si>
    <t>Spicy Korean Wing Bowl, Unli Wings - Korean Yangnyeum</t>
  </si>
  <si>
    <t>Refrigerate after opening</t>
  </si>
  <si>
    <t>12-18 months unopened</t>
  </si>
  <si>
    <t>ING-046</t>
  </si>
  <si>
    <t>Habanero Sauce</t>
  </si>
  <si>
    <t>Habanero hot sauce, bottled</t>
  </si>
  <si>
    <t>2 years</t>
  </si>
  <si>
    <t>Opened: refrigerate, 6 months</t>
  </si>
  <si>
    <t>ING-047</t>
  </si>
  <si>
    <t>Honey</t>
  </si>
  <si>
    <t>Pure honey / honey blend</t>
  </si>
  <si>
    <t>Spicy Korean Wing Bowl, Unli Wings - Honey Sriracha, Unli Wings - Korean BBQ, Unli Wings - Lemon Glazed, Unli Wings - Mango Habanero, Unli Wings - Soy Garlic</t>
  </si>
  <si>
    <t>24+ months</t>
  </si>
  <si>
    <t>Opened: indefinite if dry/sealed</t>
  </si>
  <si>
    <t>ING-048</t>
  </si>
  <si>
    <t>Hot Sauce</t>
  </si>
  <si>
    <t>Cayenne-style hot sauce (Frank's/Tabasco style)</t>
  </si>
  <si>
    <t>Opened: 6-9 months for best flavor</t>
  </si>
  <si>
    <t>ING-049</t>
  </si>
  <si>
    <t>Hungarian-style sausage, purchased finished</t>
  </si>
  <si>
    <t>Chilled/Frozen</t>
  </si>
  <si>
    <t>Per pack date (~30-60 days)</t>
  </si>
  <si>
    <t>ING-050</t>
  </si>
  <si>
    <t>Ice</t>
  </si>
  <si>
    <t>Other</t>
  </si>
  <si>
    <t>Ice, tube/block</t>
  </si>
  <si>
    <t>1 Pitcher Iced Tea, Banana Milk Shake (Tall), Blueberry Yogurt (Tall), Mango Shake (Tall)</t>
  </si>
  <si>
    <t>Freezer -18°C</t>
  </si>
  <si>
    <t>Use within service day</t>
  </si>
  <si>
    <t>ING-051</t>
  </si>
  <si>
    <t>Italian Sausage</t>
  </si>
  <si>
    <t>Italian sausage (mild), ground/casing removed -- distinct SKU from Hungarian Sausage. Selected as the initial default for Creamy Sausage Pasta: the source recipe named only generic "Sausage," but Italian sausage (fennel/herb-seasoned pork) is the standard pairing for a cream-based pasta sauce in this style, unlike Hungarian Sausage (paprika-forward, used only in the All Day Breakfast "-silog" item) or Spam/Bacon (used only in their own named breakfast items). This is an EDITABLE initial default, not a confirmed Wings Theory product -- if the kitchen uses a different sausage (e.g. a specific brand, or a spicy variant), update this row directly; the system does not silently substitute once the real product is confirmed.</t>
  </si>
  <si>
    <t>Opened: 3-5 days chilled</t>
  </si>
  <si>
    <t>ING-052</t>
  </si>
  <si>
    <t>Ketchup</t>
  </si>
  <si>
    <t>Banana/tomato ketchup</t>
  </si>
  <si>
    <t>Pork Tonkatsu, Spicy Korean Wing Bowl, Unli Wings - Korean Yangnyeum</t>
  </si>
  <si>
    <t>Opened: refrigerate, 4-6 months</t>
  </si>
  <si>
    <t>ING-053</t>
  </si>
  <si>
    <t>Kimchi</t>
  </si>
  <si>
    <t>Fermented napa cabbage kimchi</t>
  </si>
  <si>
    <t>Per printed date</t>
  </si>
  <si>
    <t>Opened: 3-4 weeks chilled</t>
  </si>
  <si>
    <t>ING-054</t>
  </si>
  <si>
    <t>Korean BBQ Sauce</t>
  </si>
  <si>
    <t>Korean BBQ glaze sauce, bottled</t>
  </si>
  <si>
    <t>Opened: refrigerate, 2-3 months</t>
  </si>
  <si>
    <t>ING-055</t>
  </si>
  <si>
    <t>Lemon Juice</t>
  </si>
  <si>
    <t>Bottled lemon juice / concentrate</t>
  </si>
  <si>
    <t>1 Pitcher Iced Tea, Fish &amp; Chips with Tartar Sauce, Unli Wings - Lemon Glazed</t>
  </si>
  <si>
    <t>12 months unopened</t>
  </si>
  <si>
    <t>Opened: 4-6 weeks chilled</t>
  </si>
  <si>
    <t>ING-056</t>
  </si>
  <si>
    <t>Lemon Zest</t>
  </si>
  <si>
    <t>Fresh lemon zest (by-product of fresh lemon)</t>
  </si>
  <si>
    <t>1-2 weeks (as whole lemon)</t>
  </si>
  <si>
    <t>Zested: use within 1-2 days</t>
  </si>
  <si>
    <t>ING-057</t>
  </si>
  <si>
    <t>Light Soy Sauce</t>
  </si>
  <si>
    <t>Light/thin soy sauce</t>
  </si>
  <si>
    <t>ING-058</t>
  </si>
  <si>
    <t>Linguine</t>
  </si>
  <si>
    <t>Dried linguine pasta</t>
  </si>
  <si>
    <t>ING-059</t>
  </si>
  <si>
    <t>Mango Nectar/Puree</t>
  </si>
  <si>
    <t>Mango nectar or puree, food-service</t>
  </si>
  <si>
    <t>ING-060</t>
  </si>
  <si>
    <t>Mayonnaise</t>
  </si>
  <si>
    <t>Mayonnaise, food-service</t>
  </si>
  <si>
    <t>12 pcs (2 Flavors) Ala Carte Wing Rack, Fish &amp; Chips with Tartar Sauce, Ranch Dip</t>
  </si>
  <si>
    <t>Opened: refrigerate, 2 months</t>
  </si>
  <si>
    <t>ING-061</t>
  </si>
  <si>
    <t>Milk Powder</t>
  </si>
  <si>
    <t>Full-cream milk powder</t>
  </si>
  <si>
    <t>Ambient (dry, sealed)</t>
  </si>
  <si>
    <t>Opened: reseal, 2-3 months</t>
  </si>
  <si>
    <t>ING-062</t>
  </si>
  <si>
    <t>Mirin</t>
  </si>
  <si>
    <t>Japanese sweet rice wine</t>
  </si>
  <si>
    <t>Unli Wings - Soy Garlic, Unli Wings - Teriyaki</t>
  </si>
  <si>
    <t>ING-063</t>
  </si>
  <si>
    <t>Mozzarella Cheese</t>
  </si>
  <si>
    <t>Mozzarella cheese, shredded</t>
  </si>
  <si>
    <t>3-6 months unopened</t>
  </si>
  <si>
    <t>Opened: 1-2 weeks</t>
  </si>
  <si>
    <t>ING-064</t>
  </si>
  <si>
    <t>Mushroom, Sliced</t>
  </si>
  <si>
    <t>Button mushroom, sliced (fresh or canned)</t>
  </si>
  <si>
    <t>ING-065</t>
  </si>
  <si>
    <t>Mustard</t>
  </si>
  <si>
    <t>Yellow mustard</t>
  </si>
  <si>
    <t>Opened: refrigerate, 6-9 months</t>
  </si>
  <si>
    <t>ING-066</t>
  </si>
  <si>
    <t>Olive Oil</t>
  </si>
  <si>
    <t>Olive oil (for pasta finishing) -- distinct SKU from Cooking Oil</t>
  </si>
  <si>
    <t>Opened: 6-9 months</t>
  </si>
  <si>
    <t>ING-067</t>
  </si>
  <si>
    <t>Onion</t>
  </si>
  <si>
    <t>Fresh red/white onion</t>
  </si>
  <si>
    <t>Creamy Sausage Pasta, Onion Rings</t>
  </si>
  <si>
    <t>ING-068</t>
  </si>
  <si>
    <t>Onion Powder</t>
  </si>
  <si>
    <t>Dehydrated onion powder</t>
  </si>
  <si>
    <t>ING-069</t>
  </si>
  <si>
    <t>Orange Juice</t>
  </si>
  <si>
    <t>Orange juice, concentrate or fresh</t>
  </si>
  <si>
    <t>ING-070</t>
  </si>
  <si>
    <t>Orange Zest</t>
  </si>
  <si>
    <t>Fresh orange zest (by-product of fresh orange)</t>
  </si>
  <si>
    <t>1-2 weeks (as whole orange)</t>
  </si>
  <si>
    <t>ING-071</t>
  </si>
  <si>
    <t>Oyster Sauce</t>
  </si>
  <si>
    <t>Oyster sauce, bottled</t>
  </si>
  <si>
    <t>Chicken Salpicao, Pork Tonkatsu</t>
  </si>
  <si>
    <t>ING-072</t>
  </si>
  <si>
    <t>Panko Breadcrumbs</t>
  </si>
  <si>
    <t>Japanese-style panko breadcrumbs</t>
  </si>
  <si>
    <t>ING-073</t>
  </si>
  <si>
    <t>Paprika</t>
  </si>
  <si>
    <t>Ground paprika</t>
  </si>
  <si>
    <t>12 pcs (2 Flavors) Ala Carte Wing Rack, 6 pcs Wings (1 Flavor) with Fries &amp; Ranch Dip, Onion Rings, Sulit Deal-3 pcs Wings + Rice, Wings Platter 6 pcs w/ Fries, Wings Platter 36 pcs (6 Flavors)</t>
  </si>
  <si>
    <t>ING-074</t>
  </si>
  <si>
    <t>Parmesan Cheese</t>
  </si>
  <si>
    <t>Parmesan cheese, grated</t>
  </si>
  <si>
    <t>Creamy Chicken &amp; Mushroom Alfredo, Creamy Sausage Pasta, Spicy Tuna Linguine Pesto, Unli Wings - Garlic Parmesan, Unli Wings - Snow Cheese, White Truffle Pasta</t>
  </si>
  <si>
    <t>6-9 months unopened</t>
  </si>
  <si>
    <t>Opened: 3-4 weeks</t>
  </si>
  <si>
    <t>ING-075</t>
  </si>
  <si>
    <t>Parsley, fresh</t>
  </si>
  <si>
    <t>Fresh parsley</t>
  </si>
  <si>
    <t>bundle</t>
  </si>
  <si>
    <t>Chicken Salpicao, Creamy Chicken &amp; Mushroom Alfredo, Unli Wings - Garlic Parmesan</t>
  </si>
  <si>
    <t>ING-076</t>
  </si>
  <si>
    <t>Pesto Sauce</t>
  </si>
  <si>
    <t>Basil pesto sauce, jarred</t>
  </si>
  <si>
    <t>Opened: refrigerate, 1-2 weeks</t>
  </si>
  <si>
    <t>ING-077</t>
  </si>
  <si>
    <t>Pickle Relish</t>
  </si>
  <si>
    <t>Sweet pickle relish</t>
  </si>
  <si>
    <t>Opened: 2-3 months chilled</t>
  </si>
  <si>
    <t>ING-078</t>
  </si>
  <si>
    <t>Pickled Mustard Greens</t>
  </si>
  <si>
    <t>Pickled mustard greens, jarred</t>
  </si>
  <si>
    <t>ING-079</t>
  </si>
  <si>
    <t>Plain Yogurt</t>
  </si>
  <si>
    <t>Plain yogurt, unsweetened</t>
  </si>
  <si>
    <t>Per printed date (~2-3 weeks)</t>
  </si>
  <si>
    <t>Opened: 5-7 days</t>
  </si>
  <si>
    <t>ING-080</t>
  </si>
  <si>
    <t>Pork Loin / Pork Chop</t>
  </si>
  <si>
    <t>Pork loin/chop, bone-in and boneless</t>
  </si>
  <si>
    <t>Pork Tonkatsu, Taiwanese Pork Chop</t>
  </si>
  <si>
    <t>ING-081</t>
  </si>
  <si>
    <t>Purchased ready-made/pre-cured tocino (owner-confirmed, no in-house curing); pork, sugar, curing agents and seasonings are already included in the purchase cost and must not be separately deducted from inventory</t>
  </si>
  <si>
    <t>2-3 months</t>
  </si>
  <si>
    <t>Thawed: 2-3 days chilled</t>
  </si>
  <si>
    <t>ING-082</t>
  </si>
  <si>
    <t>Powdered Sugar</t>
  </si>
  <si>
    <t>Confectioner's/powdered sugar</t>
  </si>
  <si>
    <t>ING-083</t>
  </si>
  <si>
    <t>Ranch Dip (prepared)</t>
  </si>
  <si>
    <t>Component</t>
  </si>
  <si>
    <t>Prepared ranch dip (see its own recipe: Mayonnaise, Fresh Milk, Garlic Powder, Onion Powder, Dried Parsley, Salt, Black Pepper) -- not purchased directly</t>
  </si>
  <si>
    <t>recipe yield</t>
  </si>
  <si>
    <t>n/a (made in-house)</t>
  </si>
  <si>
    <t>24-48 hours refrigerated</t>
  </si>
  <si>
    <t>Component (not purchased)</t>
  </si>
  <si>
    <t>ING-084</t>
  </si>
  <si>
    <t>Red Chili / Finger Chili</t>
  </si>
  <si>
    <t>Fresh red finger chili</t>
  </si>
  <si>
    <t>ING-085</t>
  </si>
  <si>
    <t>Rice Vinegar</t>
  </si>
  <si>
    <t>Rice vinegar</t>
  </si>
  <si>
    <t>Spicy Korean Wing Bowl, Unli Wings - Korean Yangnyeum, Unli Wings - Panda Express Orange Chicken</t>
  </si>
  <si>
    <t>24 months+</t>
  </si>
  <si>
    <t>ING-086</t>
  </si>
  <si>
    <t>Ripe Mango</t>
  </si>
  <si>
    <t>Ripe mango, for shakes</t>
  </si>
  <si>
    <t>3-5 days ripe</t>
  </si>
  <si>
    <t>Cut/pureed: 1-2 days chilled</t>
  </si>
  <si>
    <t>ING-087</t>
  </si>
  <si>
    <t>Royal (Can)</t>
  </si>
  <si>
    <t>Royal True Orange / RC Cola, 330ml can</t>
  </si>
  <si>
    <t>ING-088</t>
  </si>
  <si>
    <t>Salt</t>
  </si>
  <si>
    <t>Iodized table salt</t>
  </si>
  <si>
    <t>Indefinite (best 24 months)</t>
  </si>
  <si>
    <t>Opened: indefinite if dry</t>
  </si>
  <si>
    <t>ING-089</t>
  </si>
  <si>
    <t>Salted Egg Yolk</t>
  </si>
  <si>
    <t>Cured salted duck egg yolk</t>
  </si>
  <si>
    <t>2-3 weeks (cured)</t>
  </si>
  <si>
    <t>Use within 3-5 days once cracked</t>
  </si>
  <si>
    <t>ING-090</t>
  </si>
  <si>
    <t>Sesame Oil</t>
  </si>
  <si>
    <t>Toasted sesame oil</t>
  </si>
  <si>
    <t>L (750ml bottle)</t>
  </si>
  <si>
    <t>Spicy Korean Wing Bowl, Unli Wings - Korean BBQ, Unli Wings - Soy Garlic</t>
  </si>
  <si>
    <t>ING-091</t>
  </si>
  <si>
    <t>Sesame Seeds</t>
  </si>
  <si>
    <t>Toasted sesame seeds</t>
  </si>
  <si>
    <t>Spicy Korean Wing Bowl, Unli Wings - Korean BBQ, Unli Wings - Korean Yangnyeum, Unli Wings - Soy Garlic, Unli Wings - Teriyaki</t>
  </si>
  <si>
    <t>Opened: 3-6 months, refrigerate</t>
  </si>
  <si>
    <t>ING-092</t>
  </si>
  <si>
    <t>Soy Sauce</t>
  </si>
  <si>
    <t>All-purpose (dark) soy sauce</t>
  </si>
  <si>
    <t>Bacon and 2 Egg, Beef Tapa, Chicken Salpicao, Hungarian Sausage, Pork Tocino, Pork Tonkatsu, Spam and Egg, Spicy Korean Wing Bowl, Unli Wings - Korean BBQ, Unli Wings - Korean Yangnyeum, Unli Wings - Panda Express Orange Chicken, Unli Wings - Soy Garlic, Unli Wings - Teriyaki</t>
  </si>
  <si>
    <t>Opened: 12+ months ambient</t>
  </si>
  <si>
    <t>ING-093</t>
  </si>
  <si>
    <t>Spam</t>
  </si>
  <si>
    <t>Luncheon meat, canned</t>
  </si>
  <si>
    <t>can (340g)</t>
  </si>
  <si>
    <t>Opened: refrigerate, 3-5 days</t>
  </si>
  <si>
    <t>ING-094</t>
  </si>
  <si>
    <t>Spring Onion</t>
  </si>
  <si>
    <t>Fresh spring onion/scallion</t>
  </si>
  <si>
    <t>Bacon and 2 Egg, Cheesy Bacon Fries, Hungarian Sausage, Pork Tocino, Spam and Egg, Spicy Korean Wing Bowl</t>
  </si>
  <si>
    <t>ING-095</t>
  </si>
  <si>
    <t>Sprite (Can)</t>
  </si>
  <si>
    <t>Sprite, 330ml can</t>
  </si>
  <si>
    <t>ING-096</t>
  </si>
  <si>
    <t>Sriracha Sauce</t>
  </si>
  <si>
    <t>Sriracha hot sauce, bottled</t>
  </si>
  <si>
    <t>ING-097</t>
  </si>
  <si>
    <t>Stir-Fry Vegetable Mix</t>
  </si>
  <si>
    <t>Mixed stir-fry vegetables (cabbage-based)</t>
  </si>
  <si>
    <t>3-5 days</t>
  </si>
  <si>
    <t>ING-098</t>
  </si>
  <si>
    <t>Sweet Potato Starch</t>
  </si>
  <si>
    <t>Sweet potato starch (Korean/Taiwanese-style frying starch)</t>
  </si>
  <si>
    <t>ING-099</t>
  </si>
  <si>
    <t>Tonkatsu Sauce</t>
  </si>
  <si>
    <t>Tonkatsu sauce, bottled</t>
  </si>
  <si>
    <t>ING-100</t>
  </si>
  <si>
    <t>Truffle Oil</t>
  </si>
  <si>
    <t>White truffle-flavored oil (finishing oil)</t>
  </si>
  <si>
    <t>L (250ml bottle)</t>
  </si>
  <si>
    <t>Cool, dark, ambient, tightly capped</t>
  </si>
  <si>
    <t>Opened: 3-6 months (aroma fades)</t>
  </si>
  <si>
    <t>ING-101</t>
  </si>
  <si>
    <t>Vinegar (cane/white)</t>
  </si>
  <si>
    <t>Cane/white vinegar</t>
  </si>
  <si>
    <t>Bacon and 2 Egg, Beef Tapa, Hungarian Sausage, Pork Tocino, Spam and Egg, Unli Wings - Mango Habanero</t>
  </si>
  <si>
    <t>24 months+ (self-preserving)</t>
  </si>
  <si>
    <t>Opened: indefinite (acidity preserves)</t>
  </si>
  <si>
    <t>ING-102</t>
  </si>
  <si>
    <t>Water</t>
  </si>
  <si>
    <t>Potable water (prep/cooking)</t>
  </si>
  <si>
    <t>1 Pitcher Iced Tea, Fish &amp; Chips with Tartar Sauce, Pork Tocino, Taiwanese Pork Chop, Unli Wings - Lemon Glazed, Unli Wings - Panda Express Orange Chicken, Unli Wings - Teriyaki</t>
  </si>
  <si>
    <t>Ambient</t>
  </si>
  <si>
    <t>ING-103</t>
  </si>
  <si>
    <t>White Fish Fillet</t>
  </si>
  <si>
    <t>White fish fillet (Cream Dory), frozen imported</t>
  </si>
  <si>
    <t>ING-104</t>
  </si>
  <si>
    <t>White Pepper</t>
  </si>
  <si>
    <t>Ground white pepper</t>
  </si>
  <si>
    <t>ING-105</t>
  </si>
  <si>
    <t>White Sugar</t>
  </si>
  <si>
    <t>Refined white sugar</t>
  </si>
  <si>
    <t>1 Pitcher Iced Tea, Banana Milk Shake (Tall), Blueberry Yogurt (Tall), Mango Shake (Tall), Pork Tonkatsu</t>
  </si>
  <si>
    <t>ING-106</t>
  </si>
  <si>
    <t>Wing Sauce (Selected Flavor - see flavor recipe)</t>
  </si>
  <si>
    <t>Placeholder for whichever of the 14 flavor sauces the customer selects for the single-flavor wing items (6pc Ala Carte with Ranch Dip: 30g; Wings Platter 6 pcs: 30g; Sulit Deal 3 pcs: 15g -- i.e. 5g per wing) -- not a separate purchased ingredient</t>
  </si>
  <si>
    <t>6 pcs Wings (1 Flavor) with Fries &amp; Ranch Dip, Sulit Deal-3 pcs Wings + Rice, Wings Platter 6 pcs w/ Fries, Wings Platter 36 pcs (6 Flavors)</t>
  </si>
  <si>
    <t>ING-107</t>
  </si>
  <si>
    <t>Worcestershire Sauce</t>
  </si>
  <si>
    <t>Worcestershire sauce, bottled</t>
  </si>
  <si>
    <t>Chicken Salpicao, Pork Tonkatsu, Unli Wings - Classic Buffalo</t>
  </si>
  <si>
    <t>Opened: 12+ months</t>
  </si>
  <si>
    <t>ING-108</t>
  </si>
  <si>
    <t>Coke Zero (Can)</t>
  </si>
  <si>
    <t>Coca-Cola Zero Sugar, 330ml can. Purchase price assumed equal to regular Coke (same brand, same can size) -- replace with the supplier quote when available.</t>
  </si>
  <si>
    <t>Oil Absorption Factor (assumption)</t>
  </si>
  <si>
    <t>Applied only to "Cooking Oil" lines of &gt;=100ml (i.e. deep-frying volume, not a small mixed-in amount). Edit this cell to recalculate every adjusted cost in Table 6 and Table 7.</t>
  </si>
  <si>
    <t>Cooking Oil per Wing, ml (assumption)</t>
  </si>
  <si>
    <t>Owner-set default (5ml/wing) applied to every Unlimited Wings flavor and all three Ala Carte Wings items and the Sulit Deal -- replaces the old fryer-volume convention for wings specifically. Recipe Quantity (col D) for these items' Cooking Oil line is a live formula = wings served x this cell, so editing it recalculates every wing item's oil cost/deduction automatically. Unlimited Wings should scale this with actual wings served including refills at order time. Replace with a measured rate when available.</t>
  </si>
  <si>
    <t>Cooking Oil per Fish &amp; Chips with Tartar Sauce serving, ml (assumption)</t>
  </si>
  <si>
    <t>Owner-set estimate (2026-09-25), same style as the wing oil rate (cell T1). Replaces the old fryer-volume + 8%-absorption-factor guess for this item. Recipe Quantity (col D) for this item's Cooking Oil line is a live formula = this cell, so it recalculates the moment you edit it. Replace with a measured rate once the kitchen weighs actual oil use.</t>
  </si>
  <si>
    <t>Cooking Oil per Onion Rings serving, ml (assumption)</t>
  </si>
  <si>
    <t>Cooking Oil per Cheesy Bacon Fries serving, ml (assumption)</t>
  </si>
  <si>
    <t>Ingredient Name (standardized)</t>
  </si>
  <si>
    <t>Recipe Quantity</t>
  </si>
  <si>
    <t>Recipe Unit</t>
  </si>
  <si>
    <t>Base Qty</t>
  </si>
  <si>
    <t>Line Cost -- As Written (₱)</t>
  </si>
  <si>
    <t>Oil-Adjusted Base Qty</t>
  </si>
  <si>
    <t>Line Cost -- Oil-Adjusted (₱)</t>
  </si>
  <si>
    <t>cloves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</si>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</sst>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₱#,##0.00"/>
    <numFmt numFmtId="165" formatCode="\₱#,##0.0000"/>
    <numFmt numFmtId="166" formatCode="0.0"/>
    <numFmt numFmtId="167" formatCode="0.0%"/>
    <numFmt numFmtId="168" formatCode="_-[$₱-3409]* #,##0.00_-;\-[$₱-3409]* #,##0.00_-;_-[$₱-3409]* &quot;-&quot;??_-;_-@_-"/>
  </numFmts>
  <fonts count="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666666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3D"/>
        <bgColor rgb="FF444444"/>
      </patternFill>
    </fill>
    <fill>
      <patternFill patternType="solid">
        <fgColor rgb="FFF2F7F5"/>
        <bgColor rgb="FFFFFFFF"/>
      </patternFill>
    </fill>
    <fill>
      <patternFill patternType="solid">
        <fgColor rgb="FFFFF9C4"/>
        <bgColor rgb="FFFFFF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/>
  </cellStyleXfs>
  <cellXfs count="21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164" fontId="2" fillId="3" borderId="1" xfId="0" applyNumberFormat="1" applyFont="1" applyFill="1" applyBorder="1" applyAlignment="1">
      <alignment vertical="top"/>
    </xf>
    <xf numFmtId="165" fontId="2" fillId="0" borderId="1" xfId="0" applyNumberFormat="1" applyFont="1" applyBorder="1" applyAlignment="1">
      <alignment vertical="top"/>
    </xf>
    <xf numFmtId="165" fontId="2" fillId="3" borderId="1" xfId="0" applyNumberFormat="1" applyFont="1" applyFill="1" applyBorder="1" applyAlignment="1">
      <alignment vertical="top"/>
    </xf>
    <xf numFmtId="9" fontId="2" fillId="4" borderId="0" xfId="0" applyNumberFormat="1" applyFont="1" applyFill="1"/>
    <xf numFmtId="166" fontId="2" fillId="4" borderId="0" xfId="0" applyNumberFormat="1" applyFont="1" applyFill="1"/>
    <xf numFmtId="0" fontId="2" fillId="0" borderId="1" xfId="0" applyFont="1" applyBorder="1"/>
    <xf numFmtId="165" fontId="2" fillId="0" borderId="1" xfId="0" applyNumberFormat="1" applyFont="1" applyBorder="1"/>
    <xf numFmtId="164" fontId="2" fillId="0" borderId="1" xfId="0" applyNumberFormat="1" applyFont="1" applyBorder="1"/>
    <xf numFmtId="167" fontId="2" fillId="0" borderId="1" xfId="0" applyNumberFormat="1" applyFont="1" applyBorder="1"/>
    <xf numFmtId="9" fontId="1" fillId="0" borderId="0" xfId="1"/>
    <xf numFmtId="168" fontId="0" fillId="0" borderId="0" xfId="0" applyNumberFormat="1"/>
    <xf numFmtId="0" fontId="5" fillId="0" borderId="0" xfId="0" applyFont="1" applyAlignment="1">
      <alignment wrapText="1"/>
    </xf>
    <xf numFmtId="0" fontId="0" fillId="0" borderId="0" xfId="0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5C"/>
      <rgbColor rgb="FFC0C0C0"/>
      <rgbColor rgb="FF666666"/>
      <rgbColor rgb="FF9999FF"/>
      <rgbColor rgb="FF993366"/>
      <rgbColor rgb="FFFFF9C4"/>
      <rgbColor rgb="FFF2F7F5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B7280"/>
      <rgbColor rgb="FF969696"/>
      <rgbColor rgb="FF1F4E3D"/>
      <rgbColor rgb="FF339966"/>
      <rgbColor rgb="FF003300"/>
      <rgbColor rgb="FF333300"/>
      <rgbColor rgb="FFB03A2E"/>
      <rgbColor rgb="FF993366"/>
      <rgbColor rgb="FF2E5F8A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8A"/>
    <pageSetUpPr fitToPage="1"/>
  </sheetPr>
  <dimension ref="A1:E49"/>
  <sheetViews>
    <sheetView showGridLines="0" zoomScaleNormal="100" workbookViewId="0">
      <pane ySplit="1" topLeftCell="A2" activePane="bottomLeft" state="frozen"/>
      <selection pane="bottomLeft" activeCell="F1" sqref="F1:F1048576"/>
    </sheetView>
  </sheetViews>
  <sheetFormatPr defaultColWidth="8.7109375" defaultRowHeight="15" x14ac:dyDescent="0.25"/>
  <cols>
    <col min="1" max="1" width="40" customWidth="1"/>
    <col min="2" max="2" width="28" customWidth="1"/>
    <col min="3" max="3" width="20" customWidth="1"/>
    <col min="4" max="4" width="16" customWidth="1"/>
    <col min="5" max="5" width="20" customWidth="1"/>
    <col min="6" max="6" width="55" customWidth="1"/>
  </cols>
  <sheetData>
    <row r="1" spans="1:5" ht="33.75" customHeight="1" x14ac:dyDescent="0.25">
      <c r="A1" s="2" t="s">
        <v>0</v>
      </c>
      <c r="B1" s="2" t="s">
        <v>1</v>
      </c>
      <c r="C1" s="2" t="s">
        <v>2</v>
      </c>
      <c r="D1" s="2" t="s">
        <v>68</v>
      </c>
      <c r="E1" s="2" t="s">
        <v>69</v>
      </c>
    </row>
    <row r="2" spans="1:5" ht="15" customHeight="1" x14ac:dyDescent="0.25">
      <c r="A2" s="3" t="s">
        <v>7</v>
      </c>
      <c r="B2" s="4" t="s">
        <v>8</v>
      </c>
      <c r="C2" s="5">
        <v>399</v>
      </c>
      <c r="D2" s="4">
        <v>11</v>
      </c>
      <c r="E2" s="4" t="s">
        <v>70</v>
      </c>
    </row>
    <row r="3" spans="1:5" ht="15" customHeight="1" x14ac:dyDescent="0.25">
      <c r="A3" s="6" t="s">
        <v>9</v>
      </c>
      <c r="B3" s="7" t="s">
        <v>8</v>
      </c>
      <c r="C3" s="8">
        <v>399</v>
      </c>
      <c r="D3" s="7">
        <v>13</v>
      </c>
      <c r="E3" s="7" t="s">
        <v>70</v>
      </c>
    </row>
    <row r="4" spans="1:5" ht="76.5" customHeight="1" x14ac:dyDescent="0.25">
      <c r="A4" s="3" t="s">
        <v>10</v>
      </c>
      <c r="B4" s="4" t="s">
        <v>8</v>
      </c>
      <c r="C4" s="5">
        <v>399</v>
      </c>
      <c r="D4" s="4">
        <v>15</v>
      </c>
      <c r="E4" s="4" t="s">
        <v>70</v>
      </c>
    </row>
    <row r="5" spans="1:5" ht="15" customHeight="1" x14ac:dyDescent="0.25">
      <c r="A5" s="6" t="s">
        <v>11</v>
      </c>
      <c r="B5" s="7" t="s">
        <v>8</v>
      </c>
      <c r="C5" s="8">
        <v>399</v>
      </c>
      <c r="D5" s="7">
        <v>15</v>
      </c>
      <c r="E5" s="7" t="s">
        <v>70</v>
      </c>
    </row>
    <row r="6" spans="1:5" ht="51" customHeight="1" x14ac:dyDescent="0.25">
      <c r="A6" s="3" t="s">
        <v>12</v>
      </c>
      <c r="B6" s="4" t="s">
        <v>8</v>
      </c>
      <c r="C6" s="5">
        <v>399</v>
      </c>
      <c r="D6" s="4">
        <v>8</v>
      </c>
      <c r="E6" s="4" t="s">
        <v>70</v>
      </c>
    </row>
    <row r="7" spans="1:5" ht="15" customHeight="1" x14ac:dyDescent="0.25">
      <c r="A7" s="6" t="s">
        <v>13</v>
      </c>
      <c r="B7" s="7" t="s">
        <v>8</v>
      </c>
      <c r="C7" s="8">
        <v>399</v>
      </c>
      <c r="D7" s="7">
        <v>14</v>
      </c>
      <c r="E7" s="7" t="s">
        <v>70</v>
      </c>
    </row>
    <row r="8" spans="1:5" ht="15" customHeight="1" x14ac:dyDescent="0.25">
      <c r="A8" s="3" t="s">
        <v>14</v>
      </c>
      <c r="B8" s="4" t="s">
        <v>8</v>
      </c>
      <c r="C8" s="5">
        <v>399</v>
      </c>
      <c r="D8" s="4">
        <v>13</v>
      </c>
      <c r="E8" s="4" t="s">
        <v>70</v>
      </c>
    </row>
    <row r="9" spans="1:5" ht="15" customHeight="1" x14ac:dyDescent="0.25">
      <c r="A9" s="6" t="s">
        <v>15</v>
      </c>
      <c r="B9" s="7" t="s">
        <v>8</v>
      </c>
      <c r="C9" s="8">
        <v>399</v>
      </c>
      <c r="D9" s="7">
        <v>16</v>
      </c>
      <c r="E9" s="7" t="s">
        <v>70</v>
      </c>
    </row>
    <row r="10" spans="1:5" ht="15" customHeight="1" x14ac:dyDescent="0.25">
      <c r="A10" s="3" t="s">
        <v>16</v>
      </c>
      <c r="B10" s="4" t="s">
        <v>8</v>
      </c>
      <c r="C10" s="5">
        <v>399</v>
      </c>
      <c r="D10" s="4">
        <v>16</v>
      </c>
      <c r="E10" s="4" t="s">
        <v>70</v>
      </c>
    </row>
    <row r="11" spans="1:5" ht="15" customHeight="1" x14ac:dyDescent="0.25">
      <c r="A11" s="6" t="s">
        <v>17</v>
      </c>
      <c r="B11" s="7" t="s">
        <v>8</v>
      </c>
      <c r="C11" s="8">
        <v>399</v>
      </c>
      <c r="D11" s="7">
        <v>13</v>
      </c>
      <c r="E11" s="7" t="s">
        <v>70</v>
      </c>
    </row>
    <row r="12" spans="1:5" ht="15" customHeight="1" x14ac:dyDescent="0.25">
      <c r="A12" s="3" t="s">
        <v>18</v>
      </c>
      <c r="B12" s="4" t="s">
        <v>19</v>
      </c>
      <c r="C12" s="5">
        <v>429</v>
      </c>
      <c r="D12" s="4">
        <v>12</v>
      </c>
      <c r="E12" s="4" t="s">
        <v>70</v>
      </c>
    </row>
    <row r="13" spans="1:5" ht="15" customHeight="1" x14ac:dyDescent="0.25">
      <c r="A13" s="6" t="s">
        <v>20</v>
      </c>
      <c r="B13" s="7" t="s">
        <v>19</v>
      </c>
      <c r="C13" s="8">
        <v>414</v>
      </c>
      <c r="D13" s="7">
        <v>18</v>
      </c>
      <c r="E13" s="7" t="s">
        <v>70</v>
      </c>
    </row>
    <row r="14" spans="1:5" ht="15" customHeight="1" x14ac:dyDescent="0.25">
      <c r="A14" s="3" t="s">
        <v>21</v>
      </c>
      <c r="B14" s="4" t="s">
        <v>19</v>
      </c>
      <c r="C14" s="5">
        <v>419</v>
      </c>
      <c r="D14" s="4">
        <v>16</v>
      </c>
      <c r="E14" s="4" t="s">
        <v>70</v>
      </c>
    </row>
    <row r="15" spans="1:5" ht="15" customHeight="1" x14ac:dyDescent="0.25">
      <c r="A15" s="6" t="s">
        <v>22</v>
      </c>
      <c r="B15" s="7" t="s">
        <v>19</v>
      </c>
      <c r="C15" s="8">
        <v>429</v>
      </c>
      <c r="D15" s="7">
        <v>12</v>
      </c>
      <c r="E15" s="7" t="s">
        <v>70</v>
      </c>
    </row>
    <row r="16" spans="1:5" ht="15" customHeight="1" x14ac:dyDescent="0.25">
      <c r="A16" s="3" t="s">
        <v>23</v>
      </c>
      <c r="B16" s="4" t="s">
        <v>24</v>
      </c>
      <c r="C16" s="5">
        <v>220</v>
      </c>
      <c r="D16" s="4">
        <v>8</v>
      </c>
      <c r="E16" s="4" t="s">
        <v>70</v>
      </c>
    </row>
    <row r="17" spans="1:5" ht="15" customHeight="1" x14ac:dyDescent="0.25">
      <c r="A17" s="6" t="s">
        <v>25</v>
      </c>
      <c r="B17" s="7" t="s">
        <v>24</v>
      </c>
      <c r="C17" s="8">
        <v>220</v>
      </c>
      <c r="D17" s="7">
        <v>10</v>
      </c>
      <c r="E17" s="7" t="s">
        <v>70</v>
      </c>
    </row>
    <row r="18" spans="1:5" ht="15" customHeight="1" x14ac:dyDescent="0.25">
      <c r="A18" s="3" t="s">
        <v>26</v>
      </c>
      <c r="B18" s="4" t="s">
        <v>24</v>
      </c>
      <c r="C18" s="5">
        <v>190</v>
      </c>
      <c r="D18" s="4">
        <v>9</v>
      </c>
      <c r="E18" s="4" t="s">
        <v>70</v>
      </c>
    </row>
    <row r="19" spans="1:5" ht="15" customHeight="1" x14ac:dyDescent="0.25">
      <c r="A19" s="6" t="s">
        <v>27</v>
      </c>
      <c r="B19" s="7" t="s">
        <v>28</v>
      </c>
      <c r="C19" s="8">
        <v>149</v>
      </c>
      <c r="D19" s="7">
        <v>21</v>
      </c>
      <c r="E19" s="7" t="s">
        <v>70</v>
      </c>
    </row>
    <row r="20" spans="1:5" ht="15" customHeight="1" x14ac:dyDescent="0.25">
      <c r="A20" s="3" t="s">
        <v>29</v>
      </c>
      <c r="B20" s="4" t="s">
        <v>28</v>
      </c>
      <c r="C20" s="5">
        <v>139</v>
      </c>
      <c r="D20" s="4">
        <v>15</v>
      </c>
      <c r="E20" s="4" t="s">
        <v>70</v>
      </c>
    </row>
    <row r="21" spans="1:5" ht="15" customHeight="1" x14ac:dyDescent="0.25">
      <c r="A21" s="6" t="s">
        <v>30</v>
      </c>
      <c r="B21" s="7" t="s">
        <v>28</v>
      </c>
      <c r="C21" s="8">
        <v>149</v>
      </c>
      <c r="D21" s="7">
        <v>14</v>
      </c>
      <c r="E21" s="7" t="s">
        <v>70</v>
      </c>
    </row>
    <row r="22" spans="1:5" ht="63.75" customHeight="1" x14ac:dyDescent="0.25">
      <c r="A22" s="3" t="s">
        <v>31</v>
      </c>
      <c r="B22" s="4" t="s">
        <v>32</v>
      </c>
      <c r="C22" s="5">
        <v>159</v>
      </c>
      <c r="D22" s="4">
        <v>20</v>
      </c>
      <c r="E22" s="4" t="s">
        <v>70</v>
      </c>
    </row>
    <row r="23" spans="1:5" ht="178.5" customHeight="1" x14ac:dyDescent="0.25">
      <c r="A23" s="6" t="s">
        <v>33</v>
      </c>
      <c r="B23" s="7" t="s">
        <v>32</v>
      </c>
      <c r="C23" s="8">
        <v>179</v>
      </c>
      <c r="D23" s="7">
        <v>16</v>
      </c>
      <c r="E23" s="7" t="s">
        <v>70</v>
      </c>
    </row>
    <row r="24" spans="1:5" ht="15" customHeight="1" x14ac:dyDescent="0.25">
      <c r="A24" s="3" t="s">
        <v>34</v>
      </c>
      <c r="B24" s="4" t="s">
        <v>35</v>
      </c>
      <c r="C24" s="5">
        <v>159</v>
      </c>
      <c r="D24" s="4">
        <v>17</v>
      </c>
      <c r="E24" s="4" t="s">
        <v>70</v>
      </c>
    </row>
    <row r="25" spans="1:5" ht="15" customHeight="1" x14ac:dyDescent="0.25">
      <c r="A25" s="6" t="s">
        <v>36</v>
      </c>
      <c r="B25" s="7" t="s">
        <v>35</v>
      </c>
      <c r="C25" s="8">
        <v>149</v>
      </c>
      <c r="D25" s="7">
        <v>12</v>
      </c>
      <c r="E25" s="7" t="s">
        <v>70</v>
      </c>
    </row>
    <row r="26" spans="1:5" ht="15" customHeight="1" x14ac:dyDescent="0.25">
      <c r="A26" s="3" t="s">
        <v>37</v>
      </c>
      <c r="B26" s="4" t="s">
        <v>35</v>
      </c>
      <c r="C26" s="5">
        <v>149</v>
      </c>
      <c r="D26" s="4">
        <v>13</v>
      </c>
      <c r="E26" s="4" t="s">
        <v>70</v>
      </c>
    </row>
    <row r="27" spans="1:5" ht="15" customHeight="1" x14ac:dyDescent="0.25">
      <c r="A27" s="6" t="s">
        <v>38</v>
      </c>
      <c r="B27" s="7" t="s">
        <v>35</v>
      </c>
      <c r="C27" s="8">
        <v>139</v>
      </c>
      <c r="D27" s="7">
        <v>12</v>
      </c>
      <c r="E27" s="7" t="s">
        <v>70</v>
      </c>
    </row>
    <row r="28" spans="1:5" ht="15" customHeight="1" x14ac:dyDescent="0.25">
      <c r="A28" s="3" t="s">
        <v>39</v>
      </c>
      <c r="B28" s="4" t="s">
        <v>35</v>
      </c>
      <c r="C28" s="5">
        <v>139</v>
      </c>
      <c r="D28" s="4">
        <v>12</v>
      </c>
      <c r="E28" s="4" t="s">
        <v>70</v>
      </c>
    </row>
    <row r="29" spans="1:5" ht="15" customHeight="1" x14ac:dyDescent="0.25">
      <c r="A29" s="6" t="s">
        <v>40</v>
      </c>
      <c r="B29" s="7" t="s">
        <v>41</v>
      </c>
      <c r="C29" s="8">
        <v>109</v>
      </c>
      <c r="D29" s="7">
        <v>6</v>
      </c>
      <c r="E29" s="7" t="s">
        <v>70</v>
      </c>
    </row>
    <row r="30" spans="1:5" ht="15" customHeight="1" x14ac:dyDescent="0.25">
      <c r="A30" s="3" t="s">
        <v>42</v>
      </c>
      <c r="B30" s="4" t="s">
        <v>41</v>
      </c>
      <c r="C30" s="5">
        <v>99</v>
      </c>
      <c r="D30" s="4">
        <v>10</v>
      </c>
      <c r="E30" s="4" t="s">
        <v>70</v>
      </c>
    </row>
    <row r="31" spans="1:5" ht="89.25" customHeight="1" x14ac:dyDescent="0.25">
      <c r="A31" s="6" t="s">
        <v>43</v>
      </c>
      <c r="B31" s="7" t="s">
        <v>41</v>
      </c>
      <c r="C31" s="8">
        <v>199</v>
      </c>
      <c r="D31" s="7">
        <v>14</v>
      </c>
      <c r="E31" s="7" t="s">
        <v>70</v>
      </c>
    </row>
    <row r="32" spans="1:5" ht="15" customHeight="1" x14ac:dyDescent="0.25">
      <c r="A32" s="3" t="s">
        <v>44</v>
      </c>
      <c r="B32" s="4" t="s">
        <v>45</v>
      </c>
      <c r="C32" s="5">
        <v>89</v>
      </c>
      <c r="D32" s="4">
        <v>5</v>
      </c>
      <c r="E32" s="4" t="s">
        <v>70</v>
      </c>
    </row>
    <row r="33" spans="1:5" ht="15" customHeight="1" x14ac:dyDescent="0.25">
      <c r="A33" s="6" t="s">
        <v>46</v>
      </c>
      <c r="B33" s="7" t="s">
        <v>45</v>
      </c>
      <c r="C33" s="8">
        <v>39</v>
      </c>
      <c r="D33" s="7">
        <v>1</v>
      </c>
      <c r="E33" s="7" t="s">
        <v>70</v>
      </c>
    </row>
    <row r="34" spans="1:5" ht="15" customHeight="1" x14ac:dyDescent="0.25">
      <c r="A34" s="3" t="s">
        <v>47</v>
      </c>
      <c r="B34" s="4" t="s">
        <v>45</v>
      </c>
      <c r="C34" s="5">
        <v>20</v>
      </c>
      <c r="D34" s="4">
        <v>7</v>
      </c>
      <c r="E34" s="4" t="s">
        <v>70</v>
      </c>
    </row>
    <row r="35" spans="1:5" ht="15" customHeight="1" x14ac:dyDescent="0.25">
      <c r="A35" s="6" t="s">
        <v>48</v>
      </c>
      <c r="B35" s="7" t="s">
        <v>49</v>
      </c>
      <c r="C35" s="8">
        <v>60</v>
      </c>
      <c r="D35" s="7">
        <v>1</v>
      </c>
      <c r="E35" s="7" t="s">
        <v>70</v>
      </c>
    </row>
    <row r="36" spans="1:5" ht="15" customHeight="1" x14ac:dyDescent="0.25">
      <c r="A36" s="3" t="s">
        <v>50</v>
      </c>
      <c r="B36" s="4" t="s">
        <v>49</v>
      </c>
      <c r="C36" s="5">
        <v>60</v>
      </c>
      <c r="D36" s="4">
        <v>1</v>
      </c>
      <c r="E36" s="4" t="s">
        <v>70</v>
      </c>
    </row>
    <row r="37" spans="1:5" ht="15" customHeight="1" x14ac:dyDescent="0.25">
      <c r="A37" s="6" t="s">
        <v>51</v>
      </c>
      <c r="B37" s="7" t="s">
        <v>49</v>
      </c>
      <c r="C37" s="8">
        <v>60</v>
      </c>
      <c r="D37" s="7">
        <v>1</v>
      </c>
      <c r="E37" s="7" t="s">
        <v>70</v>
      </c>
    </row>
    <row r="38" spans="1:5" ht="23.85" customHeight="1" x14ac:dyDescent="0.25">
      <c r="A38" s="3" t="s">
        <v>52</v>
      </c>
      <c r="B38" s="4" t="s">
        <v>49</v>
      </c>
      <c r="C38" s="5">
        <v>60</v>
      </c>
      <c r="D38" s="4">
        <v>1</v>
      </c>
      <c r="E38" s="4" t="s">
        <v>70</v>
      </c>
    </row>
    <row r="39" spans="1:5" ht="102" customHeight="1" x14ac:dyDescent="0.25">
      <c r="A39" s="6" t="s">
        <v>53</v>
      </c>
      <c r="B39" s="7" t="s">
        <v>54</v>
      </c>
      <c r="C39" s="8">
        <v>339</v>
      </c>
      <c r="D39" s="7">
        <v>15</v>
      </c>
      <c r="E39" s="7" t="s">
        <v>70</v>
      </c>
    </row>
    <row r="40" spans="1:5" ht="25.5" customHeight="1" x14ac:dyDescent="0.25">
      <c r="A40" s="3" t="s">
        <v>55</v>
      </c>
      <c r="B40" s="4" t="s">
        <v>54</v>
      </c>
      <c r="C40" s="5">
        <v>299</v>
      </c>
      <c r="D40" s="4">
        <v>12</v>
      </c>
      <c r="E40" s="4" t="s">
        <v>70</v>
      </c>
    </row>
    <row r="41" spans="1:5" ht="51" customHeight="1" x14ac:dyDescent="0.25">
      <c r="A41" s="6" t="s">
        <v>56</v>
      </c>
      <c r="B41" s="7" t="s">
        <v>54</v>
      </c>
      <c r="C41" s="8">
        <v>219</v>
      </c>
      <c r="D41" s="7">
        <v>11</v>
      </c>
      <c r="E41" s="7" t="s">
        <v>70</v>
      </c>
    </row>
    <row r="42" spans="1:5" ht="51" customHeight="1" x14ac:dyDescent="0.25">
      <c r="A42" s="3" t="s">
        <v>57</v>
      </c>
      <c r="B42" s="4" t="s">
        <v>58</v>
      </c>
      <c r="C42" s="5">
        <v>99</v>
      </c>
      <c r="D42" s="4">
        <v>10</v>
      </c>
      <c r="E42" s="4" t="s">
        <v>70</v>
      </c>
    </row>
    <row r="43" spans="1:5" ht="15" customHeight="1" x14ac:dyDescent="0.25">
      <c r="A43" s="6" t="s">
        <v>59</v>
      </c>
      <c r="B43" s="7" t="s">
        <v>60</v>
      </c>
      <c r="C43" s="8">
        <v>60</v>
      </c>
      <c r="D43" s="7">
        <v>4</v>
      </c>
      <c r="E43" s="7" t="s">
        <v>70</v>
      </c>
    </row>
    <row r="44" spans="1:5" ht="15" customHeight="1" x14ac:dyDescent="0.25">
      <c r="A44" s="3" t="s">
        <v>61</v>
      </c>
      <c r="B44" s="4" t="s">
        <v>60</v>
      </c>
      <c r="C44" s="5">
        <v>60</v>
      </c>
      <c r="D44" s="4">
        <v>4</v>
      </c>
      <c r="E44" s="4" t="s">
        <v>70</v>
      </c>
    </row>
    <row r="45" spans="1:5" ht="15" customHeight="1" x14ac:dyDescent="0.25">
      <c r="A45" s="6" t="s">
        <v>62</v>
      </c>
      <c r="B45" s="7" t="s">
        <v>60</v>
      </c>
      <c r="C45" s="8">
        <v>60</v>
      </c>
      <c r="D45" s="7">
        <v>5</v>
      </c>
      <c r="E45" s="7" t="s">
        <v>70</v>
      </c>
    </row>
    <row r="46" spans="1:5" ht="35.1" customHeight="1" x14ac:dyDescent="0.25">
      <c r="A46" s="3" t="s">
        <v>63</v>
      </c>
      <c r="B46" s="4" t="s">
        <v>64</v>
      </c>
      <c r="C46" s="5">
        <v>30</v>
      </c>
      <c r="D46" s="4">
        <v>0</v>
      </c>
      <c r="E46" s="4" t="s">
        <v>71</v>
      </c>
    </row>
    <row r="47" spans="1:5" ht="35.1" customHeight="1" x14ac:dyDescent="0.25">
      <c r="A47" s="6" t="s">
        <v>65</v>
      </c>
      <c r="B47" s="7" t="s">
        <v>64</v>
      </c>
      <c r="C47" s="8">
        <v>30</v>
      </c>
      <c r="D47" s="7">
        <v>0</v>
      </c>
      <c r="E47" s="7" t="s">
        <v>71</v>
      </c>
    </row>
    <row r="48" spans="1:5" ht="35.1" customHeight="1" x14ac:dyDescent="0.25">
      <c r="A48" s="3" t="s">
        <v>66</v>
      </c>
      <c r="B48" s="4" t="s">
        <v>64</v>
      </c>
      <c r="C48" s="5">
        <v>25</v>
      </c>
      <c r="D48" s="4">
        <v>0</v>
      </c>
      <c r="E48" s="4" t="s">
        <v>71</v>
      </c>
    </row>
    <row r="49" spans="1:5" x14ac:dyDescent="0.25">
      <c r="A49" t="s">
        <v>67</v>
      </c>
      <c r="B49" t="s">
        <v>54</v>
      </c>
      <c r="C49">
        <v>1125</v>
      </c>
      <c r="D49">
        <v>11</v>
      </c>
      <c r="E49" t="s">
        <v>70</v>
      </c>
    </row>
  </sheetData>
  <autoFilter ref="A1:F48" xr:uid="{00000000-0009-0000-0000-000001000000}"/>
  <pageMargins left="0.4" right="0.4" top="0.5" bottom="0.5" header="0.511811023622047" footer="0.5"/>
  <pageSetup fitToHeight="0" orientation="landscape" horizontalDpi="300" verticalDpi="300"/>
  <headerFooter>
    <oddFooter>&amp;CPage &amp;P of &amp;N&amp;RWings Theory -- Menu Ingredient Audit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F8A"/>
    <pageSetUpPr fitToPage="1"/>
  </sheetPr>
  <dimension ref="A1:F49"/>
  <sheetViews>
    <sheetView showGridLines="0" topLeftCell="C1" zoomScaleNormal="100" workbookViewId="0">
      <pane ySplit="1" topLeftCell="A28" activePane="bottomLeft" state="frozen"/>
      <selection activeCell="C1" sqref="C1"/>
      <selection pane="bottomLeft" activeCell="G1" sqref="G1:G1048576"/>
    </sheetView>
  </sheetViews>
  <sheetFormatPr defaultColWidth="8.7109375" defaultRowHeight="15" x14ac:dyDescent="0.25"/>
  <cols>
    <col min="1" max="1" width="38" customWidth="1"/>
    <col min="2" max="3" width="26" customWidth="1"/>
    <col min="4" max="4" width="10" customWidth="1"/>
    <col min="5" max="5" width="90" customWidth="1"/>
    <col min="6" max="6" width="50" customWidth="1"/>
  </cols>
  <sheetData>
    <row r="1" spans="1:6" ht="33.75" customHeight="1" x14ac:dyDescent="0.25">
      <c r="A1" s="2" t="s">
        <v>0</v>
      </c>
      <c r="B1" s="2" t="s">
        <v>1</v>
      </c>
      <c r="C1" s="2" t="s">
        <v>73</v>
      </c>
      <c r="D1" s="2" t="s">
        <v>74</v>
      </c>
      <c r="E1" s="2" t="s">
        <v>75</v>
      </c>
      <c r="F1" s="2" t="s">
        <v>76</v>
      </c>
    </row>
    <row r="2" spans="1:6" ht="38.25" customHeight="1" x14ac:dyDescent="0.25">
      <c r="A2" s="4" t="s">
        <v>7</v>
      </c>
      <c r="B2" s="4" t="s">
        <v>8</v>
      </c>
      <c r="C2" s="4" t="s">
        <v>77</v>
      </c>
      <c r="D2" s="4">
        <v>1</v>
      </c>
      <c r="E2" s="3" t="s">
        <v>78</v>
      </c>
      <c r="F2" s="3" t="s">
        <v>79</v>
      </c>
    </row>
    <row r="3" spans="1:6" ht="38.25" customHeight="1" x14ac:dyDescent="0.25">
      <c r="A3" s="7" t="s">
        <v>9</v>
      </c>
      <c r="B3" s="7" t="s">
        <v>8</v>
      </c>
      <c r="C3" s="7" t="s">
        <v>77</v>
      </c>
      <c r="D3" s="7">
        <v>1</v>
      </c>
      <c r="E3" s="6" t="s">
        <v>80</v>
      </c>
      <c r="F3" s="6" t="s">
        <v>79</v>
      </c>
    </row>
    <row r="4" spans="1:6" ht="38.25" customHeight="1" x14ac:dyDescent="0.25">
      <c r="A4" s="4" t="s">
        <v>10</v>
      </c>
      <c r="B4" s="4" t="s">
        <v>8</v>
      </c>
      <c r="C4" s="4" t="s">
        <v>77</v>
      </c>
      <c r="D4" s="4">
        <v>1</v>
      </c>
      <c r="E4" s="3" t="s">
        <v>81</v>
      </c>
      <c r="F4" s="3" t="s">
        <v>79</v>
      </c>
    </row>
    <row r="5" spans="1:6" ht="38.25" customHeight="1" x14ac:dyDescent="0.25">
      <c r="A5" s="7" t="s">
        <v>11</v>
      </c>
      <c r="B5" s="7" t="s">
        <v>8</v>
      </c>
      <c r="C5" s="7" t="s">
        <v>77</v>
      </c>
      <c r="D5" s="7">
        <v>1</v>
      </c>
      <c r="E5" s="6" t="s">
        <v>82</v>
      </c>
      <c r="F5" s="6" t="s">
        <v>79</v>
      </c>
    </row>
    <row r="6" spans="1:6" ht="38.25" customHeight="1" x14ac:dyDescent="0.25">
      <c r="A6" s="4" t="s">
        <v>12</v>
      </c>
      <c r="B6" s="4" t="s">
        <v>8</v>
      </c>
      <c r="C6" s="4" t="s">
        <v>77</v>
      </c>
      <c r="D6" s="4">
        <v>1</v>
      </c>
      <c r="E6" s="3" t="s">
        <v>83</v>
      </c>
      <c r="F6" s="3" t="s">
        <v>79</v>
      </c>
    </row>
    <row r="7" spans="1:6" ht="38.25" customHeight="1" x14ac:dyDescent="0.25">
      <c r="A7" s="7" t="s">
        <v>13</v>
      </c>
      <c r="B7" s="7" t="s">
        <v>8</v>
      </c>
      <c r="C7" s="7" t="s">
        <v>77</v>
      </c>
      <c r="D7" s="7">
        <v>1</v>
      </c>
      <c r="E7" s="6" t="s">
        <v>84</v>
      </c>
      <c r="F7" s="6" t="s">
        <v>79</v>
      </c>
    </row>
    <row r="8" spans="1:6" ht="38.25" customHeight="1" x14ac:dyDescent="0.25">
      <c r="A8" s="4" t="s">
        <v>14</v>
      </c>
      <c r="B8" s="4" t="s">
        <v>8</v>
      </c>
      <c r="C8" s="4" t="s">
        <v>77</v>
      </c>
      <c r="D8" s="4">
        <v>1</v>
      </c>
      <c r="E8" s="3" t="s">
        <v>85</v>
      </c>
      <c r="F8" s="3" t="s">
        <v>79</v>
      </c>
    </row>
    <row r="9" spans="1:6" ht="38.25" customHeight="1" x14ac:dyDescent="0.25">
      <c r="A9" s="7" t="s">
        <v>15</v>
      </c>
      <c r="B9" s="7" t="s">
        <v>8</v>
      </c>
      <c r="C9" s="7" t="s">
        <v>77</v>
      </c>
      <c r="D9" s="7">
        <v>1</v>
      </c>
      <c r="E9" s="6" t="s">
        <v>86</v>
      </c>
      <c r="F9" s="6" t="s">
        <v>79</v>
      </c>
    </row>
    <row r="10" spans="1:6" ht="38.25" customHeight="1" x14ac:dyDescent="0.25">
      <c r="A10" s="4" t="s">
        <v>16</v>
      </c>
      <c r="B10" s="4" t="s">
        <v>8</v>
      </c>
      <c r="C10" s="4" t="s">
        <v>77</v>
      </c>
      <c r="D10" s="4">
        <v>1</v>
      </c>
      <c r="E10" s="3" t="s">
        <v>87</v>
      </c>
      <c r="F10" s="3" t="s">
        <v>79</v>
      </c>
    </row>
    <row r="11" spans="1:6" ht="38.25" customHeight="1" x14ac:dyDescent="0.25">
      <c r="A11" s="7" t="s">
        <v>17</v>
      </c>
      <c r="B11" s="7" t="s">
        <v>8</v>
      </c>
      <c r="C11" s="7" t="s">
        <v>77</v>
      </c>
      <c r="D11" s="7">
        <v>1</v>
      </c>
      <c r="E11" s="6" t="s">
        <v>88</v>
      </c>
      <c r="F11" s="6" t="s">
        <v>79</v>
      </c>
    </row>
    <row r="12" spans="1:6" ht="38.25" customHeight="1" x14ac:dyDescent="0.25">
      <c r="A12" s="4" t="s">
        <v>18</v>
      </c>
      <c r="B12" s="4" t="s">
        <v>19</v>
      </c>
      <c r="C12" s="4" t="s">
        <v>77</v>
      </c>
      <c r="D12" s="4">
        <v>1</v>
      </c>
      <c r="E12" s="3" t="s">
        <v>89</v>
      </c>
      <c r="F12" s="3" t="s">
        <v>79</v>
      </c>
    </row>
    <row r="13" spans="1:6" ht="38.25" customHeight="1" x14ac:dyDescent="0.25">
      <c r="A13" s="7" t="s">
        <v>20</v>
      </c>
      <c r="B13" s="7" t="s">
        <v>19</v>
      </c>
      <c r="C13" s="7" t="s">
        <v>77</v>
      </c>
      <c r="D13" s="7">
        <v>1</v>
      </c>
      <c r="E13" s="6" t="s">
        <v>90</v>
      </c>
      <c r="F13" s="6" t="s">
        <v>79</v>
      </c>
    </row>
    <row r="14" spans="1:6" ht="38.25" customHeight="1" x14ac:dyDescent="0.25">
      <c r="A14" s="4" t="s">
        <v>21</v>
      </c>
      <c r="B14" s="4" t="s">
        <v>19</v>
      </c>
      <c r="C14" s="4" t="s">
        <v>77</v>
      </c>
      <c r="D14" s="4">
        <v>1</v>
      </c>
      <c r="E14" s="3" t="s">
        <v>91</v>
      </c>
      <c r="F14" s="3" t="s">
        <v>79</v>
      </c>
    </row>
    <row r="15" spans="1:6" ht="38.25" customHeight="1" x14ac:dyDescent="0.25">
      <c r="A15" s="7" t="s">
        <v>22</v>
      </c>
      <c r="B15" s="7" t="s">
        <v>19</v>
      </c>
      <c r="C15" s="7" t="s">
        <v>77</v>
      </c>
      <c r="D15" s="7">
        <v>1</v>
      </c>
      <c r="E15" s="6" t="s">
        <v>92</v>
      </c>
      <c r="F15" s="6" t="s">
        <v>79</v>
      </c>
    </row>
    <row r="16" spans="1:6" ht="25.5" customHeight="1" x14ac:dyDescent="0.25">
      <c r="A16" s="4" t="s">
        <v>23</v>
      </c>
      <c r="B16" s="4" t="s">
        <v>24</v>
      </c>
      <c r="C16" s="4" t="s">
        <v>93</v>
      </c>
      <c r="D16" s="4">
        <v>1</v>
      </c>
      <c r="E16" s="3" t="s">
        <v>94</v>
      </c>
      <c r="F16" s="3" t="s">
        <v>95</v>
      </c>
    </row>
    <row r="17" spans="1:6" ht="25.5" customHeight="1" x14ac:dyDescent="0.25">
      <c r="A17" s="7" t="s">
        <v>25</v>
      </c>
      <c r="B17" s="7" t="s">
        <v>24</v>
      </c>
      <c r="C17" s="7" t="s">
        <v>93</v>
      </c>
      <c r="D17" s="7">
        <v>1</v>
      </c>
      <c r="E17" s="6" t="s">
        <v>96</v>
      </c>
      <c r="F17" s="6" t="s">
        <v>95</v>
      </c>
    </row>
    <row r="18" spans="1:6" ht="25.5" customHeight="1" x14ac:dyDescent="0.25">
      <c r="A18" s="4" t="s">
        <v>26</v>
      </c>
      <c r="B18" s="4" t="s">
        <v>24</v>
      </c>
      <c r="C18" s="4" t="s">
        <v>93</v>
      </c>
      <c r="D18" s="4">
        <v>1</v>
      </c>
      <c r="E18" s="3" t="s">
        <v>97</v>
      </c>
      <c r="F18" s="3" t="s">
        <v>95</v>
      </c>
    </row>
    <row r="19" spans="1:6" ht="51" customHeight="1" x14ac:dyDescent="0.25">
      <c r="A19" s="7" t="s">
        <v>27</v>
      </c>
      <c r="B19" s="7" t="s">
        <v>28</v>
      </c>
      <c r="C19" s="7" t="s">
        <v>98</v>
      </c>
      <c r="D19" s="7">
        <v>1</v>
      </c>
      <c r="E19" s="6" t="s">
        <v>99</v>
      </c>
      <c r="F19" s="6" t="s">
        <v>100</v>
      </c>
    </row>
    <row r="20" spans="1:6" ht="38.25" customHeight="1" x14ac:dyDescent="0.25">
      <c r="A20" s="4" t="s">
        <v>29</v>
      </c>
      <c r="B20" s="4" t="s">
        <v>28</v>
      </c>
      <c r="C20" s="4" t="s">
        <v>93</v>
      </c>
      <c r="D20" s="4">
        <v>1</v>
      </c>
      <c r="E20" s="3" t="s">
        <v>101</v>
      </c>
      <c r="F20" s="3" t="s">
        <v>100</v>
      </c>
    </row>
    <row r="21" spans="1:6" ht="38.25" customHeight="1" x14ac:dyDescent="0.25">
      <c r="A21" s="7" t="s">
        <v>30</v>
      </c>
      <c r="B21" s="7" t="s">
        <v>28</v>
      </c>
      <c r="C21" s="7" t="s">
        <v>93</v>
      </c>
      <c r="D21" s="7">
        <v>1</v>
      </c>
      <c r="E21" s="6" t="s">
        <v>102</v>
      </c>
      <c r="F21" s="6" t="s">
        <v>100</v>
      </c>
    </row>
    <row r="22" spans="1:6" ht="51" customHeight="1" x14ac:dyDescent="0.25">
      <c r="A22" s="4" t="s">
        <v>31</v>
      </c>
      <c r="B22" s="4" t="s">
        <v>32</v>
      </c>
      <c r="C22" s="4" t="s">
        <v>93</v>
      </c>
      <c r="D22" s="4">
        <v>1</v>
      </c>
      <c r="E22" s="3" t="s">
        <v>103</v>
      </c>
      <c r="F22" s="3" t="s">
        <v>100</v>
      </c>
    </row>
    <row r="23" spans="1:6" ht="51" customHeight="1" x14ac:dyDescent="0.25">
      <c r="A23" s="7" t="s">
        <v>33</v>
      </c>
      <c r="B23" s="7" t="s">
        <v>32</v>
      </c>
      <c r="C23" s="7" t="s">
        <v>93</v>
      </c>
      <c r="D23" s="7">
        <v>1</v>
      </c>
      <c r="E23" s="6" t="s">
        <v>104</v>
      </c>
      <c r="F23" s="6" t="s">
        <v>100</v>
      </c>
    </row>
    <row r="24" spans="1:6" ht="51" customHeight="1" x14ac:dyDescent="0.25">
      <c r="A24" s="4" t="s">
        <v>34</v>
      </c>
      <c r="B24" s="4" t="s">
        <v>35</v>
      </c>
      <c r="C24" s="4" t="s">
        <v>105</v>
      </c>
      <c r="D24" s="4">
        <v>1</v>
      </c>
      <c r="E24" s="3" t="s">
        <v>106</v>
      </c>
      <c r="F24" s="3" t="s">
        <v>107</v>
      </c>
    </row>
    <row r="25" spans="1:6" ht="38.25" customHeight="1" x14ac:dyDescent="0.25">
      <c r="A25" s="7" t="s">
        <v>36</v>
      </c>
      <c r="B25" s="7" t="s">
        <v>35</v>
      </c>
      <c r="C25" s="7" t="s">
        <v>105</v>
      </c>
      <c r="D25" s="7">
        <v>1</v>
      </c>
      <c r="E25" s="6" t="s">
        <v>108</v>
      </c>
      <c r="F25" s="6" t="s">
        <v>107</v>
      </c>
    </row>
    <row r="26" spans="1:6" ht="38.25" customHeight="1" x14ac:dyDescent="0.25">
      <c r="A26" s="4" t="s">
        <v>37</v>
      </c>
      <c r="B26" s="4" t="s">
        <v>35</v>
      </c>
      <c r="C26" s="4" t="s">
        <v>105</v>
      </c>
      <c r="D26" s="4">
        <v>1</v>
      </c>
      <c r="E26" s="3" t="s">
        <v>109</v>
      </c>
      <c r="F26" s="3" t="s">
        <v>107</v>
      </c>
    </row>
    <row r="27" spans="1:6" ht="38.25" customHeight="1" x14ac:dyDescent="0.25">
      <c r="A27" s="7" t="s">
        <v>38</v>
      </c>
      <c r="B27" s="7" t="s">
        <v>35</v>
      </c>
      <c r="C27" s="7" t="s">
        <v>105</v>
      </c>
      <c r="D27" s="7">
        <v>1</v>
      </c>
      <c r="E27" s="6" t="s">
        <v>110</v>
      </c>
      <c r="F27" s="6" t="s">
        <v>107</v>
      </c>
    </row>
    <row r="28" spans="1:6" ht="38.25" customHeight="1" x14ac:dyDescent="0.25">
      <c r="A28" s="4" t="s">
        <v>39</v>
      </c>
      <c r="B28" s="4" t="s">
        <v>35</v>
      </c>
      <c r="C28" s="4" t="s">
        <v>105</v>
      </c>
      <c r="D28" s="4">
        <v>1</v>
      </c>
      <c r="E28" s="3" t="s">
        <v>111</v>
      </c>
      <c r="F28" s="3" t="s">
        <v>107</v>
      </c>
    </row>
    <row r="29" spans="1:6" ht="25.5" customHeight="1" x14ac:dyDescent="0.25">
      <c r="A29" s="7" t="s">
        <v>40</v>
      </c>
      <c r="B29" s="7" t="s">
        <v>41</v>
      </c>
      <c r="C29" s="7" t="s">
        <v>93</v>
      </c>
      <c r="D29" s="7">
        <v>1</v>
      </c>
      <c r="E29" s="6" t="s">
        <v>112</v>
      </c>
      <c r="F29" s="6" t="s">
        <v>113</v>
      </c>
    </row>
    <row r="30" spans="1:6" ht="25.5" customHeight="1" x14ac:dyDescent="0.25">
      <c r="A30" s="4" t="s">
        <v>42</v>
      </c>
      <c r="B30" s="4" t="s">
        <v>41</v>
      </c>
      <c r="C30" s="4" t="s">
        <v>93</v>
      </c>
      <c r="D30" s="4">
        <v>1</v>
      </c>
      <c r="E30" s="3" t="s">
        <v>114</v>
      </c>
      <c r="F30" s="3" t="s">
        <v>113</v>
      </c>
    </row>
    <row r="31" spans="1:6" ht="38.25" customHeight="1" x14ac:dyDescent="0.25">
      <c r="A31" s="7" t="s">
        <v>43</v>
      </c>
      <c r="B31" s="7" t="s">
        <v>41</v>
      </c>
      <c r="C31" s="7" t="s">
        <v>93</v>
      </c>
      <c r="D31" s="7">
        <v>1</v>
      </c>
      <c r="E31" s="6" t="s">
        <v>115</v>
      </c>
      <c r="F31" s="6" t="s">
        <v>113</v>
      </c>
    </row>
    <row r="32" spans="1:6" ht="15" customHeight="1" x14ac:dyDescent="0.25">
      <c r="A32" s="4" t="s">
        <v>44</v>
      </c>
      <c r="B32" s="4" t="s">
        <v>45</v>
      </c>
      <c r="C32" s="4" t="s">
        <v>116</v>
      </c>
      <c r="D32" s="4">
        <v>1</v>
      </c>
      <c r="E32" s="3" t="s">
        <v>117</v>
      </c>
      <c r="F32" s="3" t="s">
        <v>118</v>
      </c>
    </row>
    <row r="33" spans="1:6" ht="15" customHeight="1" x14ac:dyDescent="0.25">
      <c r="A33" s="7" t="s">
        <v>46</v>
      </c>
      <c r="B33" s="7" t="s">
        <v>45</v>
      </c>
      <c r="C33" s="7" t="s">
        <v>119</v>
      </c>
      <c r="D33" s="7">
        <v>1</v>
      </c>
      <c r="E33" s="6" t="s">
        <v>120</v>
      </c>
      <c r="F33" s="6" t="s">
        <v>118</v>
      </c>
    </row>
    <row r="34" spans="1:6" ht="25.5" customHeight="1" x14ac:dyDescent="0.25">
      <c r="A34" s="4" t="s">
        <v>47</v>
      </c>
      <c r="B34" s="4" t="s">
        <v>45</v>
      </c>
      <c r="C34" s="4" t="s">
        <v>121</v>
      </c>
      <c r="D34" s="4">
        <v>1</v>
      </c>
      <c r="E34" s="3" t="s">
        <v>122</v>
      </c>
      <c r="F34" s="3" t="s">
        <v>118</v>
      </c>
    </row>
    <row r="35" spans="1:6" ht="15" customHeight="1" x14ac:dyDescent="0.25">
      <c r="A35" s="7" t="s">
        <v>48</v>
      </c>
      <c r="B35" s="7" t="s">
        <v>49</v>
      </c>
      <c r="C35" s="7" t="s">
        <v>123</v>
      </c>
      <c r="D35" s="7">
        <v>1</v>
      </c>
      <c r="E35" s="6" t="s">
        <v>124</v>
      </c>
      <c r="F35" s="6" t="s">
        <v>118</v>
      </c>
    </row>
    <row r="36" spans="1:6" ht="15" customHeight="1" x14ac:dyDescent="0.25">
      <c r="A36" s="4" t="s">
        <v>50</v>
      </c>
      <c r="B36" s="4" t="s">
        <v>49</v>
      </c>
      <c r="C36" s="4" t="s">
        <v>123</v>
      </c>
      <c r="D36" s="4">
        <v>1</v>
      </c>
      <c r="E36" s="3" t="s">
        <v>125</v>
      </c>
      <c r="F36" s="3" t="s">
        <v>118</v>
      </c>
    </row>
    <row r="37" spans="1:6" ht="15" customHeight="1" x14ac:dyDescent="0.25">
      <c r="A37" s="7" t="s">
        <v>51</v>
      </c>
      <c r="B37" s="7" t="s">
        <v>49</v>
      </c>
      <c r="C37" s="7" t="s">
        <v>123</v>
      </c>
      <c r="D37" s="7">
        <v>1</v>
      </c>
      <c r="E37" s="6" t="s">
        <v>126</v>
      </c>
      <c r="F37" s="6" t="s">
        <v>118</v>
      </c>
    </row>
    <row r="38" spans="1:6" ht="15" customHeight="1" x14ac:dyDescent="0.25">
      <c r="A38" s="4" t="s">
        <v>52</v>
      </c>
      <c r="B38" s="4" t="s">
        <v>49</v>
      </c>
      <c r="C38" s="4" t="s">
        <v>123</v>
      </c>
      <c r="D38" s="4">
        <v>1</v>
      </c>
      <c r="E38" s="3" t="s">
        <v>127</v>
      </c>
      <c r="F38" s="3" t="s">
        <v>118</v>
      </c>
    </row>
    <row r="39" spans="1:6" ht="38.25" customHeight="1" x14ac:dyDescent="0.25">
      <c r="A39" s="7" t="s">
        <v>53</v>
      </c>
      <c r="B39" s="7" t="s">
        <v>54</v>
      </c>
      <c r="C39" s="7" t="s">
        <v>128</v>
      </c>
      <c r="D39" s="7">
        <v>1</v>
      </c>
      <c r="E39" s="6" t="s">
        <v>129</v>
      </c>
      <c r="F39" s="6" t="s">
        <v>79</v>
      </c>
    </row>
    <row r="40" spans="1:6" ht="38.25" customHeight="1" x14ac:dyDescent="0.25">
      <c r="A40" s="4" t="s">
        <v>55</v>
      </c>
      <c r="B40" s="4" t="s">
        <v>54</v>
      </c>
      <c r="C40" s="4" t="s">
        <v>130</v>
      </c>
      <c r="D40" s="4">
        <v>1</v>
      </c>
      <c r="E40" s="3" t="s">
        <v>131</v>
      </c>
      <c r="F40" s="3" t="s">
        <v>113</v>
      </c>
    </row>
    <row r="41" spans="1:6" ht="38.25" customHeight="1" x14ac:dyDescent="0.25">
      <c r="A41" s="7" t="s">
        <v>56</v>
      </c>
      <c r="B41" s="7" t="s">
        <v>54</v>
      </c>
      <c r="C41" s="7" t="s">
        <v>132</v>
      </c>
      <c r="D41" s="7">
        <v>1</v>
      </c>
      <c r="E41" s="6" t="s">
        <v>133</v>
      </c>
      <c r="F41" s="6" t="s">
        <v>113</v>
      </c>
    </row>
    <row r="42" spans="1:6" ht="38.25" customHeight="1" x14ac:dyDescent="0.25">
      <c r="A42" s="4" t="s">
        <v>57</v>
      </c>
      <c r="B42" s="4" t="s">
        <v>58</v>
      </c>
      <c r="C42" s="4" t="s">
        <v>134</v>
      </c>
      <c r="D42" s="4">
        <v>1</v>
      </c>
      <c r="E42" s="3" t="s">
        <v>135</v>
      </c>
      <c r="F42" s="3" t="s">
        <v>113</v>
      </c>
    </row>
    <row r="43" spans="1:6" ht="15" customHeight="1" x14ac:dyDescent="0.25">
      <c r="A43" s="7" t="s">
        <v>59</v>
      </c>
      <c r="B43" s="7" t="s">
        <v>60</v>
      </c>
      <c r="C43" s="7" t="s">
        <v>136</v>
      </c>
      <c r="D43" s="7">
        <v>1</v>
      </c>
      <c r="E43" s="6" t="s">
        <v>137</v>
      </c>
      <c r="F43" s="6" t="s">
        <v>118</v>
      </c>
    </row>
    <row r="44" spans="1:6" ht="15" customHeight="1" x14ac:dyDescent="0.25">
      <c r="A44" s="4" t="s">
        <v>61</v>
      </c>
      <c r="B44" s="4" t="s">
        <v>60</v>
      </c>
      <c r="C44" s="4" t="s">
        <v>136</v>
      </c>
      <c r="D44" s="4">
        <v>1</v>
      </c>
      <c r="E44" s="3" t="s">
        <v>138</v>
      </c>
      <c r="F44" s="3" t="s">
        <v>118</v>
      </c>
    </row>
    <row r="45" spans="1:6" ht="15" customHeight="1" x14ac:dyDescent="0.25">
      <c r="A45" s="7" t="s">
        <v>62</v>
      </c>
      <c r="B45" s="7" t="s">
        <v>60</v>
      </c>
      <c r="C45" s="7" t="s">
        <v>136</v>
      </c>
      <c r="D45" s="7">
        <v>1</v>
      </c>
      <c r="E45" s="6" t="s">
        <v>139</v>
      </c>
      <c r="F45" s="6" t="s">
        <v>118</v>
      </c>
    </row>
    <row r="46" spans="1:6" ht="15" customHeight="1" x14ac:dyDescent="0.25">
      <c r="A46" s="4" t="s">
        <v>63</v>
      </c>
      <c r="B46" s="4" t="s">
        <v>64</v>
      </c>
      <c r="C46" s="4" t="s">
        <v>140</v>
      </c>
      <c r="D46" s="4">
        <v>1</v>
      </c>
      <c r="E46" s="3" t="s">
        <v>141</v>
      </c>
      <c r="F46" s="3" t="s">
        <v>72</v>
      </c>
    </row>
    <row r="47" spans="1:6" ht="15" customHeight="1" x14ac:dyDescent="0.25">
      <c r="A47" s="7" t="s">
        <v>65</v>
      </c>
      <c r="B47" s="7" t="s">
        <v>64</v>
      </c>
      <c r="C47" s="7" t="s">
        <v>140</v>
      </c>
      <c r="D47" s="7">
        <v>1</v>
      </c>
      <c r="E47" s="6" t="s">
        <v>141</v>
      </c>
      <c r="F47" s="6" t="s">
        <v>72</v>
      </c>
    </row>
    <row r="48" spans="1:6" ht="15" customHeight="1" x14ac:dyDescent="0.25">
      <c r="A48" s="4" t="s">
        <v>66</v>
      </c>
      <c r="B48" s="4" t="s">
        <v>64</v>
      </c>
      <c r="C48" s="4" t="s">
        <v>140</v>
      </c>
      <c r="D48" s="4">
        <v>1</v>
      </c>
      <c r="E48" s="3" t="s">
        <v>141</v>
      </c>
      <c r="F48" s="3" t="s">
        <v>72</v>
      </c>
    </row>
    <row r="49" spans="1:6" x14ac:dyDescent="0.25">
      <c r="A49" t="s">
        <v>67</v>
      </c>
      <c r="B49" t="s">
        <v>54</v>
      </c>
      <c r="C49" t="s">
        <v>142</v>
      </c>
      <c r="D49">
        <v>1</v>
      </c>
      <c r="E49" t="s">
        <v>143</v>
      </c>
      <c r="F49" t="s">
        <v>144</v>
      </c>
    </row>
  </sheetData>
  <autoFilter ref="A1:F48" xr:uid="{00000000-0009-0000-0000-000003000000}"/>
  <pageMargins left="0.4" right="0.4" top="0.5" bottom="0.5" header="0.511811023622047" footer="0.5"/>
  <pageSetup fitToHeight="0" orientation="landscape" horizontalDpi="300" verticalDpi="300"/>
  <headerFooter>
    <oddFooter>&amp;CPage &amp;P of &amp;N&amp;RWings Theory -- Menu Ingredient Audit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7A5C"/>
    <pageSetUpPr fitToPage="1"/>
  </sheetPr>
  <dimension ref="A1:N109"/>
  <sheetViews>
    <sheetView showGridLines="0" zoomScaleNormal="100" workbookViewId="0">
      <pane ySplit="1" topLeftCell="A2" activePane="bottomLeft" state="frozen"/>
      <selection activeCell="J1" sqref="J1"/>
      <selection pane="bottomLeft" activeCell="N1" sqref="N1"/>
    </sheetView>
  </sheetViews>
  <sheetFormatPr defaultColWidth="8.7109375" defaultRowHeight="15" x14ac:dyDescent="0.25"/>
  <cols>
    <col min="1" max="1" width="12" customWidth="1"/>
    <col min="2" max="2" width="32" customWidth="1"/>
    <col min="3" max="3" width="16" customWidth="1"/>
    <col min="4" max="4" width="42" customWidth="1"/>
    <col min="5" max="5" width="18" customWidth="1"/>
    <col min="6" max="6" width="16" customWidth="1"/>
    <col min="7" max="7" width="12" customWidth="1"/>
    <col min="8" max="9" width="16" customWidth="1"/>
    <col min="10" max="10" width="50" customWidth="1"/>
    <col min="11" max="12" width="22" customWidth="1"/>
    <col min="13" max="13" width="24" customWidth="1"/>
    <col min="14" max="14" width="20" customWidth="1"/>
  </cols>
  <sheetData>
    <row r="1" spans="1:14" ht="36" customHeight="1" x14ac:dyDescent="0.25">
      <c r="A1" s="2" t="s">
        <v>145</v>
      </c>
      <c r="B1" s="2" t="s">
        <v>146</v>
      </c>
      <c r="C1" s="2" t="s">
        <v>1</v>
      </c>
      <c r="D1" s="2" t="s">
        <v>147</v>
      </c>
      <c r="E1" s="2" t="s">
        <v>148</v>
      </c>
      <c r="F1" s="2" t="s">
        <v>149</v>
      </c>
      <c r="G1" s="2" t="s">
        <v>150</v>
      </c>
      <c r="H1" s="2" t="s">
        <v>151</v>
      </c>
      <c r="I1" s="2" t="s">
        <v>152</v>
      </c>
      <c r="J1" s="2" t="s">
        <v>153</v>
      </c>
      <c r="K1" s="2" t="s">
        <v>154</v>
      </c>
      <c r="L1" s="2" t="s">
        <v>155</v>
      </c>
      <c r="M1" s="2" t="s">
        <v>156</v>
      </c>
      <c r="N1" s="2" t="s">
        <v>157</v>
      </c>
    </row>
    <row r="2" spans="1:14" ht="255" customHeight="1" x14ac:dyDescent="0.25">
      <c r="A2" s="4" t="s">
        <v>158</v>
      </c>
      <c r="B2" s="4" t="s">
        <v>159</v>
      </c>
      <c r="C2" s="3" t="s">
        <v>160</v>
      </c>
      <c r="D2" s="3" t="s">
        <v>161</v>
      </c>
      <c r="E2" s="4" t="s">
        <v>162</v>
      </c>
      <c r="F2" s="5">
        <v>75</v>
      </c>
      <c r="G2" s="4" t="s">
        <v>163</v>
      </c>
      <c r="H2" s="4">
        <v>250</v>
      </c>
      <c r="I2" s="9">
        <f t="shared" ref="I2:I33" si="0">IFERROR(F2/H2,0)</f>
        <v>0.3</v>
      </c>
      <c r="J2" s="3" t="s">
        <v>164</v>
      </c>
      <c r="K2" s="4" t="s">
        <v>165</v>
      </c>
      <c r="L2" s="4" t="s">
        <v>166</v>
      </c>
      <c r="M2" s="4" t="s">
        <v>167</v>
      </c>
      <c r="N2" s="4" t="s">
        <v>168</v>
      </c>
    </row>
    <row r="3" spans="1:14" ht="153" customHeight="1" x14ac:dyDescent="0.25">
      <c r="A3" s="7" t="s">
        <v>169</v>
      </c>
      <c r="B3" s="7" t="s">
        <v>170</v>
      </c>
      <c r="C3" s="6" t="s">
        <v>171</v>
      </c>
      <c r="D3" s="6" t="s">
        <v>172</v>
      </c>
      <c r="E3" s="7" t="s">
        <v>173</v>
      </c>
      <c r="F3" s="8">
        <v>58</v>
      </c>
      <c r="G3" s="7" t="s">
        <v>174</v>
      </c>
      <c r="H3" s="7">
        <v>1000</v>
      </c>
      <c r="I3" s="10">
        <f t="shared" si="0"/>
        <v>5.8000000000000003E-2</v>
      </c>
      <c r="J3" s="6" t="s">
        <v>175</v>
      </c>
      <c r="K3" s="7" t="s">
        <v>176</v>
      </c>
      <c r="L3" s="7" t="s">
        <v>177</v>
      </c>
      <c r="M3" s="7" t="s">
        <v>178</v>
      </c>
      <c r="N3" s="7" t="s">
        <v>168</v>
      </c>
    </row>
    <row r="4" spans="1:14" ht="15" customHeight="1" x14ac:dyDescent="0.25">
      <c r="A4" s="4" t="s">
        <v>179</v>
      </c>
      <c r="B4" s="4" t="s">
        <v>180</v>
      </c>
      <c r="C4" s="3" t="s">
        <v>181</v>
      </c>
      <c r="D4" s="3" t="s">
        <v>182</v>
      </c>
      <c r="E4" s="4" t="s">
        <v>173</v>
      </c>
      <c r="F4" s="5">
        <v>380</v>
      </c>
      <c r="G4" s="4" t="s">
        <v>174</v>
      </c>
      <c r="H4" s="4">
        <v>1000</v>
      </c>
      <c r="I4" s="9">
        <f t="shared" si="0"/>
        <v>0.38</v>
      </c>
      <c r="J4" s="3" t="s">
        <v>183</v>
      </c>
      <c r="K4" s="4" t="s">
        <v>184</v>
      </c>
      <c r="L4" s="4" t="s">
        <v>185</v>
      </c>
      <c r="M4" s="4" t="s">
        <v>186</v>
      </c>
      <c r="N4" s="4" t="s">
        <v>168</v>
      </c>
    </row>
    <row r="5" spans="1:14" ht="114.75" customHeight="1" x14ac:dyDescent="0.25">
      <c r="A5" s="7" t="s">
        <v>187</v>
      </c>
      <c r="B5" s="7" t="s">
        <v>188</v>
      </c>
      <c r="C5" s="6" t="s">
        <v>171</v>
      </c>
      <c r="D5" s="6" t="s">
        <v>189</v>
      </c>
      <c r="E5" s="7" t="s">
        <v>173</v>
      </c>
      <c r="F5" s="8">
        <v>140</v>
      </c>
      <c r="G5" s="7" t="s">
        <v>174</v>
      </c>
      <c r="H5" s="7">
        <v>1000</v>
      </c>
      <c r="I5" s="10">
        <f t="shared" si="0"/>
        <v>0.14000000000000001</v>
      </c>
      <c r="J5" s="6" t="s">
        <v>190</v>
      </c>
      <c r="K5" s="7" t="s">
        <v>176</v>
      </c>
      <c r="L5" s="7" t="s">
        <v>191</v>
      </c>
      <c r="M5" s="7" t="s">
        <v>192</v>
      </c>
      <c r="N5" s="7" t="s">
        <v>168</v>
      </c>
    </row>
    <row r="6" spans="1:14" ht="15" customHeight="1" x14ac:dyDescent="0.25">
      <c r="A6" s="4" t="s">
        <v>193</v>
      </c>
      <c r="B6" s="4" t="s">
        <v>194</v>
      </c>
      <c r="C6" s="3" t="s">
        <v>171</v>
      </c>
      <c r="D6" s="3" t="s">
        <v>195</v>
      </c>
      <c r="E6" s="4" t="s">
        <v>173</v>
      </c>
      <c r="F6" s="5">
        <v>120</v>
      </c>
      <c r="G6" s="4" t="s">
        <v>174</v>
      </c>
      <c r="H6" s="4">
        <v>1000</v>
      </c>
      <c r="I6" s="9">
        <f t="shared" si="0"/>
        <v>0.12</v>
      </c>
      <c r="J6" s="3" t="s">
        <v>34</v>
      </c>
      <c r="K6" s="4" t="s">
        <v>176</v>
      </c>
      <c r="L6" s="4" t="s">
        <v>196</v>
      </c>
      <c r="M6" s="4" t="s">
        <v>192</v>
      </c>
      <c r="N6" s="4" t="s">
        <v>168</v>
      </c>
    </row>
    <row r="7" spans="1:14" ht="15" customHeight="1" x14ac:dyDescent="0.25">
      <c r="A7" s="7" t="s">
        <v>197</v>
      </c>
      <c r="B7" s="7" t="s">
        <v>198</v>
      </c>
      <c r="C7" s="6" t="s">
        <v>199</v>
      </c>
      <c r="D7" s="6" t="s">
        <v>200</v>
      </c>
      <c r="E7" s="7" t="s">
        <v>173</v>
      </c>
      <c r="F7" s="8">
        <v>65</v>
      </c>
      <c r="G7" s="7" t="s">
        <v>174</v>
      </c>
      <c r="H7" s="7">
        <v>1000</v>
      </c>
      <c r="I7" s="10">
        <f t="shared" si="0"/>
        <v>6.5000000000000002E-2</v>
      </c>
      <c r="J7" s="6" t="s">
        <v>61</v>
      </c>
      <c r="K7" s="7" t="s">
        <v>201</v>
      </c>
      <c r="L7" s="7" t="s">
        <v>202</v>
      </c>
      <c r="M7" s="7" t="s">
        <v>72</v>
      </c>
      <c r="N7" s="7" t="s">
        <v>168</v>
      </c>
    </row>
    <row r="8" spans="1:14" ht="15" customHeight="1" x14ac:dyDescent="0.25">
      <c r="A8" s="4" t="s">
        <v>203</v>
      </c>
      <c r="B8" s="4" t="s">
        <v>204</v>
      </c>
      <c r="C8" s="3" t="s">
        <v>181</v>
      </c>
      <c r="D8" s="3" t="s">
        <v>205</v>
      </c>
      <c r="E8" s="4" t="s">
        <v>173</v>
      </c>
      <c r="F8" s="5">
        <v>420</v>
      </c>
      <c r="G8" s="4" t="s">
        <v>174</v>
      </c>
      <c r="H8" s="4">
        <v>1000</v>
      </c>
      <c r="I8" s="9">
        <f t="shared" si="0"/>
        <v>0.42</v>
      </c>
      <c r="J8" s="3" t="s">
        <v>34</v>
      </c>
      <c r="K8" s="4" t="s">
        <v>206</v>
      </c>
      <c r="L8" s="4" t="s">
        <v>207</v>
      </c>
      <c r="M8" s="4" t="s">
        <v>208</v>
      </c>
      <c r="N8" s="4" t="s">
        <v>168</v>
      </c>
    </row>
    <row r="9" spans="1:14" ht="191.25" customHeight="1" x14ac:dyDescent="0.25">
      <c r="A9" s="7" t="s">
        <v>209</v>
      </c>
      <c r="B9" s="7" t="s">
        <v>210</v>
      </c>
      <c r="C9" s="6" t="s">
        <v>211</v>
      </c>
      <c r="D9" s="6" t="s">
        <v>212</v>
      </c>
      <c r="E9" s="7" t="s">
        <v>173</v>
      </c>
      <c r="F9" s="8">
        <v>650</v>
      </c>
      <c r="G9" s="7" t="s">
        <v>174</v>
      </c>
      <c r="H9" s="7">
        <v>1000</v>
      </c>
      <c r="I9" s="10">
        <f t="shared" si="0"/>
        <v>0.65</v>
      </c>
      <c r="J9" s="6" t="s">
        <v>213</v>
      </c>
      <c r="K9" s="7" t="s">
        <v>176</v>
      </c>
      <c r="L9" s="7" t="s">
        <v>214</v>
      </c>
      <c r="M9" s="7" t="s">
        <v>215</v>
      </c>
      <c r="N9" s="7" t="s">
        <v>216</v>
      </c>
    </row>
    <row r="10" spans="1:14" ht="15" customHeight="1" x14ac:dyDescent="0.25">
      <c r="A10" s="4" t="s">
        <v>217</v>
      </c>
      <c r="B10" s="4" t="s">
        <v>218</v>
      </c>
      <c r="C10" s="3" t="s">
        <v>219</v>
      </c>
      <c r="D10" s="3" t="s">
        <v>220</v>
      </c>
      <c r="E10" s="4" t="s">
        <v>221</v>
      </c>
      <c r="F10" s="5">
        <v>95</v>
      </c>
      <c r="G10" s="4" t="s">
        <v>222</v>
      </c>
      <c r="H10" s="4">
        <v>25</v>
      </c>
      <c r="I10" s="9">
        <f t="shared" si="0"/>
        <v>3.8</v>
      </c>
      <c r="J10" s="3" t="s">
        <v>44</v>
      </c>
      <c r="K10" s="4" t="s">
        <v>176</v>
      </c>
      <c r="L10" s="4" t="s">
        <v>223</v>
      </c>
      <c r="M10" s="4" t="s">
        <v>224</v>
      </c>
      <c r="N10" s="4" t="s">
        <v>168</v>
      </c>
    </row>
    <row r="11" spans="1:14" ht="15" customHeight="1" x14ac:dyDescent="0.25">
      <c r="A11" s="7" t="s">
        <v>225</v>
      </c>
      <c r="B11" s="7" t="s">
        <v>226</v>
      </c>
      <c r="C11" s="6" t="s">
        <v>219</v>
      </c>
      <c r="D11" s="6" t="s">
        <v>227</v>
      </c>
      <c r="E11" s="7" t="s">
        <v>228</v>
      </c>
      <c r="F11" s="8">
        <v>450</v>
      </c>
      <c r="G11" s="7" t="s">
        <v>163</v>
      </c>
      <c r="H11" s="7">
        <v>1000</v>
      </c>
      <c r="I11" s="10">
        <f t="shared" si="0"/>
        <v>0.45</v>
      </c>
      <c r="J11" s="6" t="s">
        <v>62</v>
      </c>
      <c r="K11" s="7" t="s">
        <v>229</v>
      </c>
      <c r="L11" s="7" t="s">
        <v>230</v>
      </c>
      <c r="M11" s="7" t="s">
        <v>231</v>
      </c>
      <c r="N11" s="7" t="s">
        <v>168</v>
      </c>
    </row>
    <row r="12" spans="1:14" ht="15" customHeight="1" x14ac:dyDescent="0.25">
      <c r="A12" s="4" t="s">
        <v>232</v>
      </c>
      <c r="B12" s="4" t="s">
        <v>233</v>
      </c>
      <c r="C12" s="3" t="s">
        <v>171</v>
      </c>
      <c r="D12" s="3" t="s">
        <v>234</v>
      </c>
      <c r="E12" s="4" t="s">
        <v>173</v>
      </c>
      <c r="F12" s="5">
        <v>95</v>
      </c>
      <c r="G12" s="4" t="s">
        <v>174</v>
      </c>
      <c r="H12" s="4">
        <v>1000</v>
      </c>
      <c r="I12" s="9">
        <f t="shared" si="0"/>
        <v>9.5000000000000001E-2</v>
      </c>
      <c r="J12" s="3" t="s">
        <v>42</v>
      </c>
      <c r="K12" s="4" t="s">
        <v>176</v>
      </c>
      <c r="L12" s="4" t="s">
        <v>235</v>
      </c>
      <c r="M12" s="4" t="s">
        <v>236</v>
      </c>
      <c r="N12" s="4" t="s">
        <v>168</v>
      </c>
    </row>
    <row r="13" spans="1:14" ht="38.25" customHeight="1" x14ac:dyDescent="0.25">
      <c r="A13" s="7" t="s">
        <v>237</v>
      </c>
      <c r="B13" s="7" t="s">
        <v>238</v>
      </c>
      <c r="C13" s="6" t="s">
        <v>171</v>
      </c>
      <c r="D13" s="6" t="s">
        <v>239</v>
      </c>
      <c r="E13" s="7" t="s">
        <v>173</v>
      </c>
      <c r="F13" s="8">
        <v>82</v>
      </c>
      <c r="G13" s="7" t="s">
        <v>174</v>
      </c>
      <c r="H13" s="7">
        <v>1000</v>
      </c>
      <c r="I13" s="10">
        <f t="shared" si="0"/>
        <v>8.2000000000000003E-2</v>
      </c>
      <c r="J13" s="6" t="s">
        <v>240</v>
      </c>
      <c r="K13" s="7" t="s">
        <v>176</v>
      </c>
      <c r="L13" s="7" t="s">
        <v>196</v>
      </c>
      <c r="M13" s="7" t="s">
        <v>241</v>
      </c>
      <c r="N13" s="7" t="s">
        <v>216</v>
      </c>
    </row>
    <row r="14" spans="1:14" ht="76.5" customHeight="1" x14ac:dyDescent="0.25">
      <c r="A14" s="4" t="s">
        <v>242</v>
      </c>
      <c r="B14" s="4" t="s">
        <v>243</v>
      </c>
      <c r="C14" s="3" t="s">
        <v>160</v>
      </c>
      <c r="D14" s="3" t="s">
        <v>244</v>
      </c>
      <c r="E14" s="4" t="s">
        <v>173</v>
      </c>
      <c r="F14" s="5">
        <v>480</v>
      </c>
      <c r="G14" s="4" t="s">
        <v>174</v>
      </c>
      <c r="H14" s="4">
        <v>1000</v>
      </c>
      <c r="I14" s="9">
        <f t="shared" si="0"/>
        <v>0.48</v>
      </c>
      <c r="J14" s="3" t="s">
        <v>245</v>
      </c>
      <c r="K14" s="4" t="s">
        <v>246</v>
      </c>
      <c r="L14" s="4" t="s">
        <v>247</v>
      </c>
      <c r="M14" s="4" t="s">
        <v>248</v>
      </c>
      <c r="N14" s="4" t="s">
        <v>168</v>
      </c>
    </row>
    <row r="15" spans="1:14" ht="15" customHeight="1" x14ac:dyDescent="0.25">
      <c r="A15" s="7" t="s">
        <v>249</v>
      </c>
      <c r="B15" s="7" t="s">
        <v>250</v>
      </c>
      <c r="C15" s="6" t="s">
        <v>199</v>
      </c>
      <c r="D15" s="6" t="s">
        <v>251</v>
      </c>
      <c r="E15" s="7" t="s">
        <v>173</v>
      </c>
      <c r="F15" s="8">
        <v>60</v>
      </c>
      <c r="G15" s="7" t="s">
        <v>174</v>
      </c>
      <c r="H15" s="7">
        <v>1000</v>
      </c>
      <c r="I15" s="10">
        <f t="shared" si="0"/>
        <v>0.06</v>
      </c>
      <c r="J15" s="6" t="s">
        <v>31</v>
      </c>
      <c r="K15" s="7" t="s">
        <v>184</v>
      </c>
      <c r="L15" s="7" t="s">
        <v>252</v>
      </c>
      <c r="M15" s="7" t="s">
        <v>253</v>
      </c>
      <c r="N15" s="7" t="s">
        <v>168</v>
      </c>
    </row>
    <row r="16" spans="1:14" ht="15" customHeight="1" x14ac:dyDescent="0.25">
      <c r="A16" s="4" t="s">
        <v>254</v>
      </c>
      <c r="B16" s="4" t="s">
        <v>255</v>
      </c>
      <c r="C16" s="3" t="s">
        <v>256</v>
      </c>
      <c r="D16" s="3" t="s">
        <v>257</v>
      </c>
      <c r="E16" s="4" t="s">
        <v>228</v>
      </c>
      <c r="F16" s="5">
        <v>150</v>
      </c>
      <c r="G16" s="4" t="s">
        <v>163</v>
      </c>
      <c r="H16" s="4">
        <v>1000</v>
      </c>
      <c r="I16" s="9">
        <f t="shared" si="0"/>
        <v>0.15</v>
      </c>
      <c r="J16" s="3" t="s">
        <v>258</v>
      </c>
      <c r="K16" s="4" t="s">
        <v>259</v>
      </c>
      <c r="L16" s="4" t="s">
        <v>260</v>
      </c>
      <c r="M16" s="4" t="s">
        <v>261</v>
      </c>
      <c r="N16" s="4" t="s">
        <v>216</v>
      </c>
    </row>
    <row r="17" spans="1:14" ht="15" customHeight="1" x14ac:dyDescent="0.25">
      <c r="A17" s="7" t="s">
        <v>262</v>
      </c>
      <c r="B17" s="7" t="s">
        <v>263</v>
      </c>
      <c r="C17" s="6" t="s">
        <v>264</v>
      </c>
      <c r="D17" s="6" t="s">
        <v>265</v>
      </c>
      <c r="E17" s="7" t="s">
        <v>266</v>
      </c>
      <c r="F17" s="8">
        <v>55</v>
      </c>
      <c r="G17" s="7" t="s">
        <v>174</v>
      </c>
      <c r="H17" s="7">
        <v>180</v>
      </c>
      <c r="I17" s="10">
        <f t="shared" si="0"/>
        <v>0.30555555555555558</v>
      </c>
      <c r="J17" s="6" t="s">
        <v>25</v>
      </c>
      <c r="K17" s="7" t="s">
        <v>267</v>
      </c>
      <c r="L17" s="7" t="s">
        <v>268</v>
      </c>
      <c r="M17" s="7" t="s">
        <v>269</v>
      </c>
      <c r="N17" s="7" t="s">
        <v>270</v>
      </c>
    </row>
    <row r="18" spans="1:14" ht="15" customHeight="1" x14ac:dyDescent="0.25">
      <c r="A18" s="4" t="s">
        <v>271</v>
      </c>
      <c r="B18" s="4" t="s">
        <v>272</v>
      </c>
      <c r="C18" s="3" t="s">
        <v>160</v>
      </c>
      <c r="D18" s="3" t="s">
        <v>273</v>
      </c>
      <c r="E18" s="4" t="s">
        <v>173</v>
      </c>
      <c r="F18" s="5">
        <v>520</v>
      </c>
      <c r="G18" s="4" t="s">
        <v>174</v>
      </c>
      <c r="H18" s="4">
        <v>1000</v>
      </c>
      <c r="I18" s="9">
        <f t="shared" si="0"/>
        <v>0.52</v>
      </c>
      <c r="J18" s="3" t="s">
        <v>274</v>
      </c>
      <c r="K18" s="4" t="s">
        <v>184</v>
      </c>
      <c r="L18" s="4" t="s">
        <v>275</v>
      </c>
      <c r="M18" s="4" t="s">
        <v>276</v>
      </c>
      <c r="N18" s="4" t="s">
        <v>216</v>
      </c>
    </row>
    <row r="19" spans="1:14" ht="15" customHeight="1" x14ac:dyDescent="0.25">
      <c r="A19" s="7" t="s">
        <v>277</v>
      </c>
      <c r="B19" s="7" t="s">
        <v>278</v>
      </c>
      <c r="C19" s="6" t="s">
        <v>160</v>
      </c>
      <c r="D19" s="6" t="s">
        <v>279</v>
      </c>
      <c r="E19" s="7" t="s">
        <v>173</v>
      </c>
      <c r="F19" s="8">
        <v>650</v>
      </c>
      <c r="G19" s="7" t="s">
        <v>174</v>
      </c>
      <c r="H19" s="7">
        <v>1000</v>
      </c>
      <c r="I19" s="10">
        <f t="shared" si="0"/>
        <v>0.65</v>
      </c>
      <c r="J19" s="6" t="s">
        <v>18</v>
      </c>
      <c r="K19" s="7" t="s">
        <v>176</v>
      </c>
      <c r="L19" s="7" t="s">
        <v>280</v>
      </c>
      <c r="M19" s="7" t="s">
        <v>281</v>
      </c>
      <c r="N19" s="7" t="s">
        <v>168</v>
      </c>
    </row>
    <row r="20" spans="1:14" ht="15" customHeight="1" x14ac:dyDescent="0.25">
      <c r="A20" s="4" t="s">
        <v>282</v>
      </c>
      <c r="B20" s="4" t="s">
        <v>283</v>
      </c>
      <c r="C20" s="3" t="s">
        <v>160</v>
      </c>
      <c r="D20" s="3" t="s">
        <v>284</v>
      </c>
      <c r="E20" s="4" t="s">
        <v>173</v>
      </c>
      <c r="F20" s="5">
        <v>420</v>
      </c>
      <c r="G20" s="4" t="s">
        <v>174</v>
      </c>
      <c r="H20" s="4">
        <v>1000</v>
      </c>
      <c r="I20" s="9">
        <f t="shared" si="0"/>
        <v>0.42</v>
      </c>
      <c r="J20" s="3" t="s">
        <v>274</v>
      </c>
      <c r="K20" s="4" t="s">
        <v>259</v>
      </c>
      <c r="L20" s="4" t="s">
        <v>285</v>
      </c>
      <c r="M20" s="4" t="s">
        <v>286</v>
      </c>
      <c r="N20" s="4" t="s">
        <v>216</v>
      </c>
    </row>
    <row r="21" spans="1:14" ht="15" customHeight="1" x14ac:dyDescent="0.25">
      <c r="A21" s="7" t="s">
        <v>287</v>
      </c>
      <c r="B21" s="7" t="s">
        <v>288</v>
      </c>
      <c r="C21" s="6" t="s">
        <v>256</v>
      </c>
      <c r="D21" s="6" t="s">
        <v>289</v>
      </c>
      <c r="E21" s="7" t="s">
        <v>228</v>
      </c>
      <c r="F21" s="8">
        <v>90</v>
      </c>
      <c r="G21" s="7" t="s">
        <v>163</v>
      </c>
      <c r="H21" s="7">
        <v>1000</v>
      </c>
      <c r="I21" s="10">
        <f t="shared" si="0"/>
        <v>0.09</v>
      </c>
      <c r="J21" s="6" t="s">
        <v>30</v>
      </c>
      <c r="K21" s="7" t="s">
        <v>229</v>
      </c>
      <c r="L21" s="7" t="s">
        <v>290</v>
      </c>
      <c r="M21" s="7" t="s">
        <v>291</v>
      </c>
      <c r="N21" s="7" t="s">
        <v>168</v>
      </c>
    </row>
    <row r="22" spans="1:14" ht="178.5" customHeight="1" x14ac:dyDescent="0.25">
      <c r="A22" s="4" t="s">
        <v>292</v>
      </c>
      <c r="B22" s="4" t="s">
        <v>293</v>
      </c>
      <c r="C22" s="3" t="s">
        <v>181</v>
      </c>
      <c r="D22" s="3" t="s">
        <v>294</v>
      </c>
      <c r="E22" s="4" t="s">
        <v>222</v>
      </c>
      <c r="F22" s="5">
        <v>13.77</v>
      </c>
      <c r="G22" s="4" t="s">
        <v>222</v>
      </c>
      <c r="H22" s="4">
        <v>1</v>
      </c>
      <c r="I22" s="9">
        <f t="shared" si="0"/>
        <v>13.77</v>
      </c>
      <c r="J22" s="3" t="s">
        <v>295</v>
      </c>
      <c r="K22" s="4" t="s">
        <v>206</v>
      </c>
      <c r="L22" s="4" t="s">
        <v>235</v>
      </c>
      <c r="M22" s="4" t="s">
        <v>208</v>
      </c>
      <c r="N22" s="4" t="s">
        <v>168</v>
      </c>
    </row>
    <row r="23" spans="1:14" ht="15" customHeight="1" x14ac:dyDescent="0.25">
      <c r="A23" s="7" t="s">
        <v>296</v>
      </c>
      <c r="B23" s="7" t="s">
        <v>297</v>
      </c>
      <c r="C23" s="6" t="s">
        <v>181</v>
      </c>
      <c r="D23" s="6" t="s">
        <v>298</v>
      </c>
      <c r="E23" s="7" t="s">
        <v>173</v>
      </c>
      <c r="F23" s="8">
        <v>260</v>
      </c>
      <c r="G23" s="7" t="s">
        <v>174</v>
      </c>
      <c r="H23" s="7">
        <v>1000</v>
      </c>
      <c r="I23" s="10">
        <f t="shared" si="0"/>
        <v>0.26</v>
      </c>
      <c r="J23" s="6" t="s">
        <v>299</v>
      </c>
      <c r="K23" s="7" t="s">
        <v>206</v>
      </c>
      <c r="L23" s="7" t="s">
        <v>235</v>
      </c>
      <c r="M23" s="7" t="s">
        <v>208</v>
      </c>
      <c r="N23" s="7" t="s">
        <v>168</v>
      </c>
    </row>
    <row r="24" spans="1:14" ht="25.5" customHeight="1" x14ac:dyDescent="0.25">
      <c r="A24" s="4" t="s">
        <v>300</v>
      </c>
      <c r="B24" s="4" t="s">
        <v>301</v>
      </c>
      <c r="C24" s="3" t="s">
        <v>211</v>
      </c>
      <c r="D24" s="3" t="s">
        <v>302</v>
      </c>
      <c r="E24" s="4" t="s">
        <v>173</v>
      </c>
      <c r="F24" s="5">
        <v>280</v>
      </c>
      <c r="G24" s="4" t="s">
        <v>174</v>
      </c>
      <c r="H24" s="4">
        <v>1000</v>
      </c>
      <c r="I24" s="9">
        <f t="shared" si="0"/>
        <v>0.28000000000000003</v>
      </c>
      <c r="J24" s="3" t="s">
        <v>303</v>
      </c>
      <c r="K24" s="4" t="s">
        <v>176</v>
      </c>
      <c r="L24" s="4" t="s">
        <v>304</v>
      </c>
      <c r="M24" s="4" t="s">
        <v>215</v>
      </c>
      <c r="N24" s="4" t="s">
        <v>168</v>
      </c>
    </row>
    <row r="25" spans="1:14" ht="15" customHeight="1" x14ac:dyDescent="0.25">
      <c r="A25" s="7" t="s">
        <v>305</v>
      </c>
      <c r="B25" s="7" t="s">
        <v>306</v>
      </c>
      <c r="C25" s="6" t="s">
        <v>256</v>
      </c>
      <c r="D25" s="6" t="s">
        <v>307</v>
      </c>
      <c r="E25" s="7" t="s">
        <v>228</v>
      </c>
      <c r="F25" s="8">
        <v>180</v>
      </c>
      <c r="G25" s="7" t="s">
        <v>163</v>
      </c>
      <c r="H25" s="7">
        <v>1000</v>
      </c>
      <c r="I25" s="10">
        <f t="shared" si="0"/>
        <v>0.18</v>
      </c>
      <c r="J25" s="6" t="s">
        <v>33</v>
      </c>
      <c r="K25" s="7" t="s">
        <v>267</v>
      </c>
      <c r="L25" s="7" t="s">
        <v>308</v>
      </c>
      <c r="M25" s="7" t="s">
        <v>224</v>
      </c>
      <c r="N25" s="7" t="s">
        <v>168</v>
      </c>
    </row>
    <row r="26" spans="1:14" ht="15" customHeight="1" x14ac:dyDescent="0.25">
      <c r="A26" s="4" t="s">
        <v>309</v>
      </c>
      <c r="B26" s="4" t="s">
        <v>310</v>
      </c>
      <c r="C26" s="3" t="s">
        <v>219</v>
      </c>
      <c r="D26" s="3" t="s">
        <v>311</v>
      </c>
      <c r="E26" s="4" t="s">
        <v>312</v>
      </c>
      <c r="F26" s="5">
        <v>38</v>
      </c>
      <c r="G26" s="4" t="s">
        <v>313</v>
      </c>
      <c r="H26" s="4">
        <v>1</v>
      </c>
      <c r="I26" s="9">
        <f t="shared" si="0"/>
        <v>38</v>
      </c>
      <c r="J26" s="3" t="s">
        <v>50</v>
      </c>
      <c r="K26" s="4" t="s">
        <v>267</v>
      </c>
      <c r="L26" s="4" t="s">
        <v>314</v>
      </c>
      <c r="M26" s="4" t="s">
        <v>72</v>
      </c>
      <c r="N26" s="4" t="s">
        <v>168</v>
      </c>
    </row>
    <row r="27" spans="1:14" ht="51" customHeight="1" x14ac:dyDescent="0.25">
      <c r="A27" s="7" t="s">
        <v>315</v>
      </c>
      <c r="B27" s="7" t="s">
        <v>316</v>
      </c>
      <c r="C27" s="6" t="s">
        <v>171</v>
      </c>
      <c r="D27" s="6" t="s">
        <v>317</v>
      </c>
      <c r="E27" s="7" t="s">
        <v>173</v>
      </c>
      <c r="F27" s="8">
        <v>48</v>
      </c>
      <c r="G27" s="7" t="s">
        <v>174</v>
      </c>
      <c r="H27" s="7">
        <v>1000</v>
      </c>
      <c r="I27" s="10">
        <f t="shared" si="0"/>
        <v>4.8000000000000001E-2</v>
      </c>
      <c r="J27" s="6" t="s">
        <v>318</v>
      </c>
      <c r="K27" s="7" t="s">
        <v>319</v>
      </c>
      <c r="L27" s="7" t="s">
        <v>320</v>
      </c>
      <c r="M27" s="7" t="s">
        <v>321</v>
      </c>
      <c r="N27" s="7" t="s">
        <v>168</v>
      </c>
    </row>
    <row r="28" spans="1:14" ht="178.5" customHeight="1" x14ac:dyDescent="0.25">
      <c r="A28" s="4" t="s">
        <v>322</v>
      </c>
      <c r="B28" s="4" t="s">
        <v>323</v>
      </c>
      <c r="C28" s="3" t="s">
        <v>324</v>
      </c>
      <c r="D28" s="3" t="s">
        <v>325</v>
      </c>
      <c r="E28" s="4" t="s">
        <v>228</v>
      </c>
      <c r="F28" s="5">
        <v>90</v>
      </c>
      <c r="G28" s="4" t="s">
        <v>163</v>
      </c>
      <c r="H28" s="4">
        <v>1000</v>
      </c>
      <c r="I28" s="9">
        <f t="shared" si="0"/>
        <v>0.09</v>
      </c>
      <c r="J28" s="3" t="s">
        <v>326</v>
      </c>
      <c r="K28" s="4" t="s">
        <v>327</v>
      </c>
      <c r="L28" s="4" t="s">
        <v>280</v>
      </c>
      <c r="M28" s="4" t="s">
        <v>328</v>
      </c>
      <c r="N28" s="4" t="s">
        <v>168</v>
      </c>
    </row>
    <row r="29" spans="1:14" ht="15" customHeight="1" x14ac:dyDescent="0.25">
      <c r="A29" s="7" t="s">
        <v>329</v>
      </c>
      <c r="B29" s="7" t="s">
        <v>330</v>
      </c>
      <c r="C29" s="6" t="s">
        <v>256</v>
      </c>
      <c r="D29" s="6" t="s">
        <v>331</v>
      </c>
      <c r="E29" s="7" t="s">
        <v>173</v>
      </c>
      <c r="F29" s="8">
        <v>180</v>
      </c>
      <c r="G29" s="7" t="s">
        <v>174</v>
      </c>
      <c r="H29" s="7">
        <v>1000</v>
      </c>
      <c r="I29" s="10">
        <f t="shared" si="0"/>
        <v>0.18</v>
      </c>
      <c r="J29" s="6" t="s">
        <v>21</v>
      </c>
      <c r="K29" s="7" t="s">
        <v>267</v>
      </c>
      <c r="L29" s="7" t="s">
        <v>196</v>
      </c>
      <c r="M29" s="7" t="s">
        <v>224</v>
      </c>
      <c r="N29" s="7" t="s">
        <v>168</v>
      </c>
    </row>
    <row r="30" spans="1:14" ht="140.25" customHeight="1" x14ac:dyDescent="0.25">
      <c r="A30" s="4" t="s">
        <v>332</v>
      </c>
      <c r="B30" s="4" t="s">
        <v>333</v>
      </c>
      <c r="C30" s="3" t="s">
        <v>171</v>
      </c>
      <c r="D30" s="3" t="s">
        <v>334</v>
      </c>
      <c r="E30" s="4" t="s">
        <v>173</v>
      </c>
      <c r="F30" s="5">
        <v>75</v>
      </c>
      <c r="G30" s="4" t="s">
        <v>174</v>
      </c>
      <c r="H30" s="4">
        <v>1000</v>
      </c>
      <c r="I30" s="9">
        <f t="shared" si="0"/>
        <v>7.4999999999999997E-2</v>
      </c>
      <c r="J30" s="3" t="s">
        <v>335</v>
      </c>
      <c r="K30" s="4" t="s">
        <v>176</v>
      </c>
      <c r="L30" s="4" t="s">
        <v>336</v>
      </c>
      <c r="M30" s="4" t="s">
        <v>337</v>
      </c>
      <c r="N30" s="4" t="s">
        <v>168</v>
      </c>
    </row>
    <row r="31" spans="1:14" ht="15" customHeight="1" x14ac:dyDescent="0.25">
      <c r="A31" s="7" t="s">
        <v>338</v>
      </c>
      <c r="B31" s="7" t="s">
        <v>339</v>
      </c>
      <c r="C31" s="6" t="s">
        <v>199</v>
      </c>
      <c r="D31" s="6" t="s">
        <v>340</v>
      </c>
      <c r="E31" s="7" t="s">
        <v>173</v>
      </c>
      <c r="F31" s="8">
        <v>55</v>
      </c>
      <c r="G31" s="7" t="s">
        <v>174</v>
      </c>
      <c r="H31" s="7">
        <v>1000</v>
      </c>
      <c r="I31" s="10">
        <f t="shared" si="0"/>
        <v>5.5E-2</v>
      </c>
      <c r="J31" s="6" t="s">
        <v>27</v>
      </c>
      <c r="K31" s="7" t="s">
        <v>184</v>
      </c>
      <c r="L31" s="7" t="s">
        <v>341</v>
      </c>
      <c r="M31" s="7" t="s">
        <v>342</v>
      </c>
      <c r="N31" s="7" t="s">
        <v>168</v>
      </c>
    </row>
    <row r="32" spans="1:14" ht="15" customHeight="1" x14ac:dyDescent="0.25">
      <c r="A32" s="4" t="s">
        <v>343</v>
      </c>
      <c r="B32" s="4" t="s">
        <v>344</v>
      </c>
      <c r="C32" s="3" t="s">
        <v>199</v>
      </c>
      <c r="D32" s="3" t="s">
        <v>345</v>
      </c>
      <c r="E32" s="4" t="s">
        <v>346</v>
      </c>
      <c r="F32" s="5">
        <v>40</v>
      </c>
      <c r="G32" s="4" t="s">
        <v>174</v>
      </c>
      <c r="H32" s="4">
        <v>50</v>
      </c>
      <c r="I32" s="9">
        <f t="shared" si="0"/>
        <v>0.8</v>
      </c>
      <c r="J32" s="3" t="s">
        <v>10</v>
      </c>
      <c r="K32" s="4" t="s">
        <v>184</v>
      </c>
      <c r="L32" s="4" t="s">
        <v>347</v>
      </c>
      <c r="M32" s="4" t="s">
        <v>72</v>
      </c>
      <c r="N32" s="4" t="s">
        <v>168</v>
      </c>
    </row>
    <row r="33" spans="1:14" ht="15" customHeight="1" x14ac:dyDescent="0.25">
      <c r="A33" s="7" t="s">
        <v>348</v>
      </c>
      <c r="B33" s="7" t="s">
        <v>349</v>
      </c>
      <c r="C33" s="6" t="s">
        <v>211</v>
      </c>
      <c r="D33" s="6" t="s">
        <v>350</v>
      </c>
      <c r="E33" s="7" t="s">
        <v>173</v>
      </c>
      <c r="F33" s="8">
        <v>320</v>
      </c>
      <c r="G33" s="7" t="s">
        <v>174</v>
      </c>
      <c r="H33" s="7">
        <v>1000</v>
      </c>
      <c r="I33" s="10">
        <f t="shared" si="0"/>
        <v>0.32</v>
      </c>
      <c r="J33" s="6" t="s">
        <v>10</v>
      </c>
      <c r="K33" s="7" t="s">
        <v>176</v>
      </c>
      <c r="L33" s="7" t="s">
        <v>304</v>
      </c>
      <c r="M33" s="7" t="s">
        <v>215</v>
      </c>
      <c r="N33" s="7" t="s">
        <v>270</v>
      </c>
    </row>
    <row r="34" spans="1:14" ht="15" customHeight="1" x14ac:dyDescent="0.25">
      <c r="A34" s="4" t="s">
        <v>351</v>
      </c>
      <c r="B34" s="4" t="s">
        <v>352</v>
      </c>
      <c r="C34" s="3" t="s">
        <v>211</v>
      </c>
      <c r="D34" s="3" t="s">
        <v>353</v>
      </c>
      <c r="E34" s="4" t="s">
        <v>173</v>
      </c>
      <c r="F34" s="5">
        <v>850</v>
      </c>
      <c r="G34" s="4" t="s">
        <v>174</v>
      </c>
      <c r="H34" s="4">
        <v>1000</v>
      </c>
      <c r="I34" s="9">
        <f t="shared" ref="I34:I65" si="1">IFERROR(F34/H34,0)</f>
        <v>0.85</v>
      </c>
      <c r="J34" s="3" t="s">
        <v>354</v>
      </c>
      <c r="K34" s="4" t="s">
        <v>176</v>
      </c>
      <c r="L34" s="4" t="s">
        <v>304</v>
      </c>
      <c r="M34" s="4" t="s">
        <v>215</v>
      </c>
      <c r="N34" s="4" t="s">
        <v>168</v>
      </c>
    </row>
    <row r="35" spans="1:14" ht="38.25" customHeight="1" x14ac:dyDescent="0.25">
      <c r="A35" s="7" t="s">
        <v>355</v>
      </c>
      <c r="B35" s="7" t="s">
        <v>356</v>
      </c>
      <c r="C35" s="6" t="s">
        <v>357</v>
      </c>
      <c r="D35" s="6" t="s">
        <v>358</v>
      </c>
      <c r="E35" s="7" t="s">
        <v>222</v>
      </c>
      <c r="F35" s="8">
        <v>8</v>
      </c>
      <c r="G35" s="7" t="s">
        <v>222</v>
      </c>
      <c r="H35" s="7">
        <v>1</v>
      </c>
      <c r="I35" s="10">
        <f t="shared" si="1"/>
        <v>8</v>
      </c>
      <c r="J35" s="6" t="s">
        <v>359</v>
      </c>
      <c r="K35" s="7" t="s">
        <v>184</v>
      </c>
      <c r="L35" s="7" t="s">
        <v>360</v>
      </c>
      <c r="M35" s="7" t="s">
        <v>72</v>
      </c>
      <c r="N35" s="7" t="s">
        <v>168</v>
      </c>
    </row>
    <row r="36" spans="1:14" ht="15" customHeight="1" x14ac:dyDescent="0.25">
      <c r="A36" s="4" t="s">
        <v>361</v>
      </c>
      <c r="B36" s="4" t="s">
        <v>362</v>
      </c>
      <c r="C36" s="3" t="s">
        <v>160</v>
      </c>
      <c r="D36" s="3" t="s">
        <v>363</v>
      </c>
      <c r="E36" s="4" t="s">
        <v>364</v>
      </c>
      <c r="F36" s="5">
        <v>48</v>
      </c>
      <c r="G36" s="4" t="s">
        <v>163</v>
      </c>
      <c r="H36" s="4">
        <v>370</v>
      </c>
      <c r="I36" s="9">
        <f t="shared" si="1"/>
        <v>0.12972972972972974</v>
      </c>
      <c r="J36" s="3" t="s">
        <v>10</v>
      </c>
      <c r="K36" s="4" t="s">
        <v>165</v>
      </c>
      <c r="L36" s="4" t="s">
        <v>191</v>
      </c>
      <c r="M36" s="4" t="s">
        <v>167</v>
      </c>
      <c r="N36" s="4" t="s">
        <v>168</v>
      </c>
    </row>
    <row r="37" spans="1:14" ht="178.5" customHeight="1" x14ac:dyDescent="0.25">
      <c r="A37" s="7" t="s">
        <v>365</v>
      </c>
      <c r="B37" s="7" t="s">
        <v>366</v>
      </c>
      <c r="C37" s="6" t="s">
        <v>171</v>
      </c>
      <c r="D37" s="6" t="s">
        <v>367</v>
      </c>
      <c r="E37" s="7" t="s">
        <v>173</v>
      </c>
      <c r="F37" s="8">
        <v>150</v>
      </c>
      <c r="G37" s="7" t="s">
        <v>174</v>
      </c>
      <c r="H37" s="7">
        <v>1000</v>
      </c>
      <c r="I37" s="10">
        <f t="shared" si="1"/>
        <v>0.15</v>
      </c>
      <c r="J37" s="6" t="s">
        <v>368</v>
      </c>
      <c r="K37" s="7" t="s">
        <v>176</v>
      </c>
      <c r="L37" s="7" t="s">
        <v>196</v>
      </c>
      <c r="M37" s="7" t="s">
        <v>337</v>
      </c>
      <c r="N37" s="7" t="s">
        <v>168</v>
      </c>
    </row>
    <row r="38" spans="1:14" ht="15" customHeight="1" x14ac:dyDescent="0.25">
      <c r="A38" s="4" t="s">
        <v>369</v>
      </c>
      <c r="B38" s="4" t="s">
        <v>370</v>
      </c>
      <c r="C38" s="3" t="s">
        <v>211</v>
      </c>
      <c r="D38" s="3" t="s">
        <v>371</v>
      </c>
      <c r="E38" s="4" t="s">
        <v>173</v>
      </c>
      <c r="F38" s="5">
        <v>700</v>
      </c>
      <c r="G38" s="4" t="s">
        <v>174</v>
      </c>
      <c r="H38" s="4">
        <v>1000</v>
      </c>
      <c r="I38" s="9">
        <f t="shared" si="1"/>
        <v>0.7</v>
      </c>
      <c r="J38" s="3" t="s">
        <v>33</v>
      </c>
      <c r="K38" s="4" t="s">
        <v>176</v>
      </c>
      <c r="L38" s="4" t="s">
        <v>304</v>
      </c>
      <c r="M38" s="4" t="s">
        <v>215</v>
      </c>
      <c r="N38" s="4" t="s">
        <v>168</v>
      </c>
    </row>
    <row r="39" spans="1:14" ht="38.25" customHeight="1" x14ac:dyDescent="0.25">
      <c r="A39" s="7" t="s">
        <v>372</v>
      </c>
      <c r="B39" s="7" t="s">
        <v>373</v>
      </c>
      <c r="C39" s="6" t="s">
        <v>160</v>
      </c>
      <c r="D39" s="6" t="s">
        <v>374</v>
      </c>
      <c r="E39" s="7" t="s">
        <v>228</v>
      </c>
      <c r="F39" s="8">
        <v>95</v>
      </c>
      <c r="G39" s="7" t="s">
        <v>163</v>
      </c>
      <c r="H39" s="7">
        <v>1000</v>
      </c>
      <c r="I39" s="10">
        <f t="shared" si="1"/>
        <v>9.5000000000000001E-2</v>
      </c>
      <c r="J39" s="6" t="s">
        <v>375</v>
      </c>
      <c r="K39" s="7" t="s">
        <v>184</v>
      </c>
      <c r="L39" s="7" t="s">
        <v>376</v>
      </c>
      <c r="M39" s="7" t="s">
        <v>377</v>
      </c>
      <c r="N39" s="7" t="s">
        <v>168</v>
      </c>
    </row>
    <row r="40" spans="1:14" ht="25.5" customHeight="1" x14ac:dyDescent="0.25">
      <c r="A40" s="4" t="s">
        <v>378</v>
      </c>
      <c r="B40" s="4" t="s">
        <v>379</v>
      </c>
      <c r="C40" s="3" t="s">
        <v>171</v>
      </c>
      <c r="D40" s="3" t="s">
        <v>380</v>
      </c>
      <c r="E40" s="4" t="s">
        <v>173</v>
      </c>
      <c r="F40" s="5">
        <v>180</v>
      </c>
      <c r="G40" s="4" t="s">
        <v>174</v>
      </c>
      <c r="H40" s="4">
        <v>1000</v>
      </c>
      <c r="I40" s="9">
        <f t="shared" si="1"/>
        <v>0.18</v>
      </c>
      <c r="J40" s="3" t="s">
        <v>381</v>
      </c>
      <c r="K40" s="4" t="s">
        <v>206</v>
      </c>
      <c r="L40" s="4" t="s">
        <v>177</v>
      </c>
      <c r="M40" s="4" t="s">
        <v>382</v>
      </c>
      <c r="N40" s="4" t="s">
        <v>168</v>
      </c>
    </row>
    <row r="41" spans="1:14" ht="140.25" customHeight="1" x14ac:dyDescent="0.25">
      <c r="A41" s="7" t="s">
        <v>383</v>
      </c>
      <c r="B41" s="7" t="s">
        <v>384</v>
      </c>
      <c r="C41" s="6" t="s">
        <v>199</v>
      </c>
      <c r="D41" s="6" t="s">
        <v>385</v>
      </c>
      <c r="E41" s="7" t="s">
        <v>173</v>
      </c>
      <c r="F41" s="8">
        <v>180</v>
      </c>
      <c r="G41" s="7" t="s">
        <v>386</v>
      </c>
      <c r="H41" s="7">
        <v>200</v>
      </c>
      <c r="I41" s="10">
        <f t="shared" si="1"/>
        <v>0.9</v>
      </c>
      <c r="J41" s="6" t="s">
        <v>387</v>
      </c>
      <c r="K41" s="7" t="s">
        <v>388</v>
      </c>
      <c r="L41" s="7" t="s">
        <v>389</v>
      </c>
      <c r="M41" s="7" t="s">
        <v>390</v>
      </c>
      <c r="N41" s="7" t="s">
        <v>168</v>
      </c>
    </row>
    <row r="42" spans="1:14" ht="89.25" customHeight="1" x14ac:dyDescent="0.25">
      <c r="A42" s="4" t="s">
        <v>391</v>
      </c>
      <c r="B42" s="4" t="s">
        <v>392</v>
      </c>
      <c r="C42" s="3" t="s">
        <v>199</v>
      </c>
      <c r="D42" s="3" t="s">
        <v>393</v>
      </c>
      <c r="E42" s="4" t="s">
        <v>173</v>
      </c>
      <c r="F42" s="5">
        <v>180</v>
      </c>
      <c r="G42" s="4" t="s">
        <v>174</v>
      </c>
      <c r="H42" s="4">
        <v>1000</v>
      </c>
      <c r="I42" s="9">
        <f t="shared" si="1"/>
        <v>0.18</v>
      </c>
      <c r="J42" s="3" t="s">
        <v>394</v>
      </c>
      <c r="K42" s="4" t="s">
        <v>388</v>
      </c>
      <c r="L42" s="4" t="s">
        <v>389</v>
      </c>
      <c r="M42" s="4" t="s">
        <v>390</v>
      </c>
      <c r="N42" s="4" t="s">
        <v>168</v>
      </c>
    </row>
    <row r="43" spans="1:14" ht="127.5" customHeight="1" x14ac:dyDescent="0.25">
      <c r="A43" s="7" t="s">
        <v>395</v>
      </c>
      <c r="B43" s="7" t="s">
        <v>396</v>
      </c>
      <c r="C43" s="6" t="s">
        <v>211</v>
      </c>
      <c r="D43" s="6" t="s">
        <v>397</v>
      </c>
      <c r="E43" s="7" t="s">
        <v>173</v>
      </c>
      <c r="F43" s="8">
        <v>280</v>
      </c>
      <c r="G43" s="7" t="s">
        <v>174</v>
      </c>
      <c r="H43" s="7">
        <v>1000</v>
      </c>
      <c r="I43" s="10">
        <f t="shared" si="1"/>
        <v>0.28000000000000003</v>
      </c>
      <c r="J43" s="6" t="s">
        <v>398</v>
      </c>
      <c r="K43" s="7" t="s">
        <v>176</v>
      </c>
      <c r="L43" s="7" t="s">
        <v>399</v>
      </c>
      <c r="M43" s="7" t="s">
        <v>400</v>
      </c>
      <c r="N43" s="7" t="s">
        <v>168</v>
      </c>
    </row>
    <row r="44" spans="1:14" ht="38.25" customHeight="1" x14ac:dyDescent="0.25">
      <c r="A44" s="4" t="s">
        <v>401</v>
      </c>
      <c r="B44" s="4" t="s">
        <v>402</v>
      </c>
      <c r="C44" s="3" t="s">
        <v>199</v>
      </c>
      <c r="D44" s="3" t="s">
        <v>403</v>
      </c>
      <c r="E44" s="4" t="s">
        <v>173</v>
      </c>
      <c r="F44" s="5">
        <v>140</v>
      </c>
      <c r="G44" s="4" t="s">
        <v>174</v>
      </c>
      <c r="H44" s="4">
        <v>1000</v>
      </c>
      <c r="I44" s="9">
        <f t="shared" si="1"/>
        <v>0.14000000000000001</v>
      </c>
      <c r="J44" s="3" t="s">
        <v>404</v>
      </c>
      <c r="K44" s="4" t="s">
        <v>388</v>
      </c>
      <c r="L44" s="4" t="s">
        <v>405</v>
      </c>
      <c r="M44" s="4" t="s">
        <v>406</v>
      </c>
      <c r="N44" s="4" t="s">
        <v>168</v>
      </c>
    </row>
    <row r="45" spans="1:14" ht="15" customHeight="1" x14ac:dyDescent="0.25">
      <c r="A45" s="7" t="s">
        <v>407</v>
      </c>
      <c r="B45" s="7" t="s">
        <v>408</v>
      </c>
      <c r="C45" s="6" t="s">
        <v>211</v>
      </c>
      <c r="D45" s="6" t="s">
        <v>409</v>
      </c>
      <c r="E45" s="7" t="s">
        <v>173</v>
      </c>
      <c r="F45" s="8">
        <v>600</v>
      </c>
      <c r="G45" s="7" t="s">
        <v>174</v>
      </c>
      <c r="H45" s="7">
        <v>1000</v>
      </c>
      <c r="I45" s="10">
        <f t="shared" si="1"/>
        <v>0.6</v>
      </c>
      <c r="J45" s="6" t="s">
        <v>31</v>
      </c>
      <c r="K45" s="7" t="s">
        <v>176</v>
      </c>
      <c r="L45" s="7" t="s">
        <v>399</v>
      </c>
      <c r="M45" s="7" t="s">
        <v>400</v>
      </c>
      <c r="N45" s="7" t="s">
        <v>168</v>
      </c>
    </row>
    <row r="46" spans="1:14" ht="25.5" customHeight="1" x14ac:dyDescent="0.25">
      <c r="A46" s="4" t="s">
        <v>410</v>
      </c>
      <c r="B46" s="4" t="s">
        <v>411</v>
      </c>
      <c r="C46" s="3" t="s">
        <v>256</v>
      </c>
      <c r="D46" s="3" t="s">
        <v>412</v>
      </c>
      <c r="E46" s="4" t="s">
        <v>173</v>
      </c>
      <c r="F46" s="5">
        <v>420</v>
      </c>
      <c r="G46" s="4" t="s">
        <v>174</v>
      </c>
      <c r="H46" s="4">
        <v>1000</v>
      </c>
      <c r="I46" s="9">
        <f t="shared" si="1"/>
        <v>0.42</v>
      </c>
      <c r="J46" s="3" t="s">
        <v>413</v>
      </c>
      <c r="K46" s="4" t="s">
        <v>414</v>
      </c>
      <c r="L46" s="4" t="s">
        <v>415</v>
      </c>
      <c r="M46" s="4" t="s">
        <v>224</v>
      </c>
      <c r="N46" s="4" t="s">
        <v>168</v>
      </c>
    </row>
    <row r="47" spans="1:14" ht="15" customHeight="1" x14ac:dyDescent="0.25">
      <c r="A47" s="7" t="s">
        <v>416</v>
      </c>
      <c r="B47" s="7" t="s">
        <v>417</v>
      </c>
      <c r="C47" s="6" t="s">
        <v>256</v>
      </c>
      <c r="D47" s="6" t="s">
        <v>418</v>
      </c>
      <c r="E47" s="7" t="s">
        <v>228</v>
      </c>
      <c r="F47" s="8">
        <v>450</v>
      </c>
      <c r="G47" s="7" t="s">
        <v>163</v>
      </c>
      <c r="H47" s="7">
        <v>1000</v>
      </c>
      <c r="I47" s="10">
        <f t="shared" si="1"/>
        <v>0.45</v>
      </c>
      <c r="J47" s="6" t="s">
        <v>9</v>
      </c>
      <c r="K47" s="7" t="s">
        <v>229</v>
      </c>
      <c r="L47" s="7" t="s">
        <v>419</v>
      </c>
      <c r="M47" s="7" t="s">
        <v>420</v>
      </c>
      <c r="N47" s="7" t="s">
        <v>168</v>
      </c>
    </row>
    <row r="48" spans="1:14" ht="38.25" customHeight="1" x14ac:dyDescent="0.25">
      <c r="A48" s="4" t="s">
        <v>421</v>
      </c>
      <c r="B48" s="4" t="s">
        <v>422</v>
      </c>
      <c r="C48" s="3" t="s">
        <v>256</v>
      </c>
      <c r="D48" s="3" t="s">
        <v>423</v>
      </c>
      <c r="E48" s="4" t="s">
        <v>173</v>
      </c>
      <c r="F48" s="5">
        <v>320</v>
      </c>
      <c r="G48" s="4" t="s">
        <v>174</v>
      </c>
      <c r="H48" s="4">
        <v>1000</v>
      </c>
      <c r="I48" s="9">
        <f t="shared" si="1"/>
        <v>0.32</v>
      </c>
      <c r="J48" s="3" t="s">
        <v>424</v>
      </c>
      <c r="K48" s="4" t="s">
        <v>267</v>
      </c>
      <c r="L48" s="4" t="s">
        <v>425</v>
      </c>
      <c r="M48" s="4" t="s">
        <v>426</v>
      </c>
      <c r="N48" s="4" t="s">
        <v>216</v>
      </c>
    </row>
    <row r="49" spans="1:14" ht="25.5" customHeight="1" x14ac:dyDescent="0.25">
      <c r="A49" s="7" t="s">
        <v>427</v>
      </c>
      <c r="B49" s="7" t="s">
        <v>428</v>
      </c>
      <c r="C49" s="6" t="s">
        <v>256</v>
      </c>
      <c r="D49" s="6" t="s">
        <v>429</v>
      </c>
      <c r="E49" s="7" t="s">
        <v>228</v>
      </c>
      <c r="F49" s="8">
        <v>250</v>
      </c>
      <c r="G49" s="7" t="s">
        <v>163</v>
      </c>
      <c r="H49" s="7">
        <v>1000</v>
      </c>
      <c r="I49" s="10">
        <f t="shared" si="1"/>
        <v>0.25</v>
      </c>
      <c r="J49" s="6" t="s">
        <v>7</v>
      </c>
      <c r="K49" s="7" t="s">
        <v>267</v>
      </c>
      <c r="L49" s="7" t="s">
        <v>308</v>
      </c>
      <c r="M49" s="7" t="s">
        <v>430</v>
      </c>
      <c r="N49" s="7" t="s">
        <v>168</v>
      </c>
    </row>
    <row r="50" spans="1:14" ht="15" customHeight="1" x14ac:dyDescent="0.25">
      <c r="A50" s="4" t="s">
        <v>431</v>
      </c>
      <c r="B50" s="4" t="s">
        <v>36</v>
      </c>
      <c r="C50" s="3" t="s">
        <v>181</v>
      </c>
      <c r="D50" s="3" t="s">
        <v>432</v>
      </c>
      <c r="E50" s="4" t="s">
        <v>173</v>
      </c>
      <c r="F50" s="5">
        <v>320</v>
      </c>
      <c r="G50" s="4" t="s">
        <v>174</v>
      </c>
      <c r="H50" s="4">
        <v>1000</v>
      </c>
      <c r="I50" s="9">
        <f t="shared" si="1"/>
        <v>0.32</v>
      </c>
      <c r="J50" s="3" t="s">
        <v>36</v>
      </c>
      <c r="K50" s="4" t="s">
        <v>433</v>
      </c>
      <c r="L50" s="4" t="s">
        <v>434</v>
      </c>
      <c r="M50" s="4" t="s">
        <v>286</v>
      </c>
      <c r="N50" s="4" t="s">
        <v>168</v>
      </c>
    </row>
    <row r="51" spans="1:14" ht="25.5" customHeight="1" x14ac:dyDescent="0.25">
      <c r="A51" s="7" t="s">
        <v>435</v>
      </c>
      <c r="B51" s="7" t="s">
        <v>436</v>
      </c>
      <c r="C51" s="6" t="s">
        <v>437</v>
      </c>
      <c r="D51" s="6" t="s">
        <v>438</v>
      </c>
      <c r="E51" s="7" t="s">
        <v>173</v>
      </c>
      <c r="F51" s="8">
        <v>8</v>
      </c>
      <c r="G51" s="7" t="s">
        <v>174</v>
      </c>
      <c r="H51" s="7">
        <v>1000</v>
      </c>
      <c r="I51" s="10">
        <f t="shared" si="1"/>
        <v>8.0000000000000002E-3</v>
      </c>
      <c r="J51" s="6" t="s">
        <v>439</v>
      </c>
      <c r="K51" s="7" t="s">
        <v>440</v>
      </c>
      <c r="L51" s="7" t="s">
        <v>441</v>
      </c>
      <c r="M51" s="7" t="s">
        <v>72</v>
      </c>
      <c r="N51" s="7" t="s">
        <v>168</v>
      </c>
    </row>
    <row r="52" spans="1:14" ht="204" customHeight="1" x14ac:dyDescent="0.25">
      <c r="A52" s="4" t="s">
        <v>442</v>
      </c>
      <c r="B52" s="4" t="s">
        <v>443</v>
      </c>
      <c r="C52" s="3" t="s">
        <v>181</v>
      </c>
      <c r="D52" s="3" t="s">
        <v>444</v>
      </c>
      <c r="E52" s="4" t="s">
        <v>173</v>
      </c>
      <c r="F52" s="5">
        <v>340</v>
      </c>
      <c r="G52" s="4" t="s">
        <v>174</v>
      </c>
      <c r="H52" s="4">
        <v>1000</v>
      </c>
      <c r="I52" s="9">
        <f t="shared" si="1"/>
        <v>0.34</v>
      </c>
      <c r="J52" s="3" t="s">
        <v>26</v>
      </c>
      <c r="K52" s="4" t="s">
        <v>433</v>
      </c>
      <c r="L52" s="4" t="s">
        <v>185</v>
      </c>
      <c r="M52" s="4" t="s">
        <v>445</v>
      </c>
      <c r="N52" s="4" t="s">
        <v>270</v>
      </c>
    </row>
    <row r="53" spans="1:14" ht="25.5" customHeight="1" x14ac:dyDescent="0.25">
      <c r="A53" s="7" t="s">
        <v>446</v>
      </c>
      <c r="B53" s="7" t="s">
        <v>447</v>
      </c>
      <c r="C53" s="6" t="s">
        <v>256</v>
      </c>
      <c r="D53" s="6" t="s">
        <v>448</v>
      </c>
      <c r="E53" s="7" t="s">
        <v>173</v>
      </c>
      <c r="F53" s="8">
        <v>95</v>
      </c>
      <c r="G53" s="7" t="s">
        <v>174</v>
      </c>
      <c r="H53" s="7">
        <v>1000</v>
      </c>
      <c r="I53" s="10">
        <f t="shared" si="1"/>
        <v>9.5000000000000001E-2</v>
      </c>
      <c r="J53" s="6" t="s">
        <v>449</v>
      </c>
      <c r="K53" s="7" t="s">
        <v>229</v>
      </c>
      <c r="L53" s="7" t="s">
        <v>196</v>
      </c>
      <c r="M53" s="7" t="s">
        <v>450</v>
      </c>
      <c r="N53" s="7" t="s">
        <v>168</v>
      </c>
    </row>
    <row r="54" spans="1:14" ht="15" customHeight="1" x14ac:dyDescent="0.25">
      <c r="A54" s="4" t="s">
        <v>451</v>
      </c>
      <c r="B54" s="4" t="s">
        <v>452</v>
      </c>
      <c r="C54" s="3" t="s">
        <v>199</v>
      </c>
      <c r="D54" s="3" t="s">
        <v>453</v>
      </c>
      <c r="E54" s="4" t="s">
        <v>173</v>
      </c>
      <c r="F54" s="5">
        <v>280</v>
      </c>
      <c r="G54" s="4" t="s">
        <v>174</v>
      </c>
      <c r="H54" s="4">
        <v>1000</v>
      </c>
      <c r="I54" s="9">
        <f t="shared" si="1"/>
        <v>0.28000000000000003</v>
      </c>
      <c r="J54" s="3" t="s">
        <v>27</v>
      </c>
      <c r="K54" s="4" t="s">
        <v>184</v>
      </c>
      <c r="L54" s="4" t="s">
        <v>454</v>
      </c>
      <c r="M54" s="4" t="s">
        <v>455</v>
      </c>
      <c r="N54" s="4" t="s">
        <v>168</v>
      </c>
    </row>
    <row r="55" spans="1:14" ht="15" customHeight="1" x14ac:dyDescent="0.25">
      <c r="A55" s="7" t="s">
        <v>456</v>
      </c>
      <c r="B55" s="7" t="s">
        <v>457</v>
      </c>
      <c r="C55" s="6" t="s">
        <v>256</v>
      </c>
      <c r="D55" s="6" t="s">
        <v>458</v>
      </c>
      <c r="E55" s="7" t="s">
        <v>228</v>
      </c>
      <c r="F55" s="8">
        <v>320</v>
      </c>
      <c r="G55" s="7" t="s">
        <v>163</v>
      </c>
      <c r="H55" s="7">
        <v>1000</v>
      </c>
      <c r="I55" s="10">
        <f t="shared" si="1"/>
        <v>0.32</v>
      </c>
      <c r="J55" s="6" t="s">
        <v>13</v>
      </c>
      <c r="K55" s="7" t="s">
        <v>229</v>
      </c>
      <c r="L55" s="7" t="s">
        <v>336</v>
      </c>
      <c r="M55" s="7" t="s">
        <v>459</v>
      </c>
      <c r="N55" s="7" t="s">
        <v>168</v>
      </c>
    </row>
    <row r="56" spans="1:14" ht="25.5" customHeight="1" x14ac:dyDescent="0.25">
      <c r="A56" s="4" t="s">
        <v>460</v>
      </c>
      <c r="B56" s="4" t="s">
        <v>461</v>
      </c>
      <c r="C56" s="3" t="s">
        <v>256</v>
      </c>
      <c r="D56" s="3" t="s">
        <v>462</v>
      </c>
      <c r="E56" s="4" t="s">
        <v>228</v>
      </c>
      <c r="F56" s="5">
        <v>220</v>
      </c>
      <c r="G56" s="4" t="s">
        <v>163</v>
      </c>
      <c r="H56" s="4">
        <v>1000</v>
      </c>
      <c r="I56" s="9">
        <f t="shared" si="1"/>
        <v>0.22</v>
      </c>
      <c r="J56" s="3" t="s">
        <v>463</v>
      </c>
      <c r="K56" s="4" t="s">
        <v>259</v>
      </c>
      <c r="L56" s="4" t="s">
        <v>464</v>
      </c>
      <c r="M56" s="4" t="s">
        <v>465</v>
      </c>
      <c r="N56" s="4" t="s">
        <v>216</v>
      </c>
    </row>
    <row r="57" spans="1:14" ht="15" customHeight="1" x14ac:dyDescent="0.25">
      <c r="A57" s="7" t="s">
        <v>466</v>
      </c>
      <c r="B57" s="7" t="s">
        <v>467</v>
      </c>
      <c r="C57" s="6" t="s">
        <v>199</v>
      </c>
      <c r="D57" s="6" t="s">
        <v>468</v>
      </c>
      <c r="E57" s="7" t="s">
        <v>173</v>
      </c>
      <c r="F57" s="8">
        <v>90</v>
      </c>
      <c r="G57" s="7" t="s">
        <v>174</v>
      </c>
      <c r="H57" s="7">
        <v>1000</v>
      </c>
      <c r="I57" s="10">
        <f t="shared" si="1"/>
        <v>0.09</v>
      </c>
      <c r="J57" s="6" t="s">
        <v>11</v>
      </c>
      <c r="K57" s="7" t="s">
        <v>184</v>
      </c>
      <c r="L57" s="7" t="s">
        <v>469</v>
      </c>
      <c r="M57" s="7" t="s">
        <v>470</v>
      </c>
      <c r="N57" s="7" t="s">
        <v>168</v>
      </c>
    </row>
    <row r="58" spans="1:14" ht="15" customHeight="1" x14ac:dyDescent="0.25">
      <c r="A58" s="4" t="s">
        <v>471</v>
      </c>
      <c r="B58" s="4" t="s">
        <v>472</v>
      </c>
      <c r="C58" s="3" t="s">
        <v>256</v>
      </c>
      <c r="D58" s="3" t="s">
        <v>473</v>
      </c>
      <c r="E58" s="4" t="s">
        <v>228</v>
      </c>
      <c r="F58" s="5">
        <v>180</v>
      </c>
      <c r="G58" s="4" t="s">
        <v>163</v>
      </c>
      <c r="H58" s="4">
        <v>1000</v>
      </c>
      <c r="I58" s="9">
        <f t="shared" si="1"/>
        <v>0.18</v>
      </c>
      <c r="J58" s="3" t="s">
        <v>33</v>
      </c>
      <c r="K58" s="4" t="s">
        <v>267</v>
      </c>
      <c r="L58" s="4" t="s">
        <v>196</v>
      </c>
      <c r="M58" s="4" t="s">
        <v>231</v>
      </c>
      <c r="N58" s="4" t="s">
        <v>168</v>
      </c>
    </row>
    <row r="59" spans="1:14" ht="15" customHeight="1" x14ac:dyDescent="0.25">
      <c r="A59" s="7" t="s">
        <v>474</v>
      </c>
      <c r="B59" s="7" t="s">
        <v>475</v>
      </c>
      <c r="C59" s="6" t="s">
        <v>171</v>
      </c>
      <c r="D59" s="6" t="s">
        <v>476</v>
      </c>
      <c r="E59" s="7" t="s">
        <v>173</v>
      </c>
      <c r="F59" s="8">
        <v>155</v>
      </c>
      <c r="G59" s="7" t="s">
        <v>174</v>
      </c>
      <c r="H59" s="7">
        <v>1000</v>
      </c>
      <c r="I59" s="10">
        <f t="shared" si="1"/>
        <v>0.155</v>
      </c>
      <c r="J59" s="6" t="s">
        <v>25</v>
      </c>
      <c r="K59" s="7" t="s">
        <v>176</v>
      </c>
      <c r="L59" s="7" t="s">
        <v>196</v>
      </c>
      <c r="M59" s="7" t="s">
        <v>337</v>
      </c>
      <c r="N59" s="7" t="s">
        <v>270</v>
      </c>
    </row>
    <row r="60" spans="1:14" ht="15" customHeight="1" x14ac:dyDescent="0.25">
      <c r="A60" s="4" t="s">
        <v>477</v>
      </c>
      <c r="B60" s="4" t="s">
        <v>478</v>
      </c>
      <c r="C60" s="3" t="s">
        <v>219</v>
      </c>
      <c r="D60" s="3" t="s">
        <v>479</v>
      </c>
      <c r="E60" s="4" t="s">
        <v>228</v>
      </c>
      <c r="F60" s="5">
        <v>160</v>
      </c>
      <c r="G60" s="4" t="s">
        <v>163</v>
      </c>
      <c r="H60" s="4">
        <v>1000</v>
      </c>
      <c r="I60" s="9">
        <f t="shared" si="1"/>
        <v>0.16</v>
      </c>
      <c r="J60" s="3" t="s">
        <v>9</v>
      </c>
      <c r="K60" s="4" t="s">
        <v>259</v>
      </c>
      <c r="L60" s="4" t="s">
        <v>464</v>
      </c>
      <c r="M60" s="4" t="s">
        <v>445</v>
      </c>
      <c r="N60" s="4" t="s">
        <v>168</v>
      </c>
    </row>
    <row r="61" spans="1:14" ht="25.5" customHeight="1" x14ac:dyDescent="0.25">
      <c r="A61" s="7" t="s">
        <v>480</v>
      </c>
      <c r="B61" s="7" t="s">
        <v>481</v>
      </c>
      <c r="C61" s="6" t="s">
        <v>256</v>
      </c>
      <c r="D61" s="6" t="s">
        <v>482</v>
      </c>
      <c r="E61" s="7" t="s">
        <v>173</v>
      </c>
      <c r="F61" s="8">
        <v>180</v>
      </c>
      <c r="G61" s="7" t="s">
        <v>174</v>
      </c>
      <c r="H61" s="7">
        <v>1000</v>
      </c>
      <c r="I61" s="10">
        <f t="shared" si="1"/>
        <v>0.18</v>
      </c>
      <c r="J61" s="6" t="s">
        <v>483</v>
      </c>
      <c r="K61" s="7" t="s">
        <v>229</v>
      </c>
      <c r="L61" s="7" t="s">
        <v>177</v>
      </c>
      <c r="M61" s="7" t="s">
        <v>484</v>
      </c>
      <c r="N61" s="7" t="s">
        <v>168</v>
      </c>
    </row>
    <row r="62" spans="1:14" ht="15" customHeight="1" x14ac:dyDescent="0.25">
      <c r="A62" s="4" t="s">
        <v>485</v>
      </c>
      <c r="B62" s="4" t="s">
        <v>486</v>
      </c>
      <c r="C62" s="3" t="s">
        <v>160</v>
      </c>
      <c r="D62" s="3" t="s">
        <v>487</v>
      </c>
      <c r="E62" s="4" t="s">
        <v>173</v>
      </c>
      <c r="F62" s="5">
        <v>470</v>
      </c>
      <c r="G62" s="4" t="s">
        <v>174</v>
      </c>
      <c r="H62" s="4">
        <v>1000</v>
      </c>
      <c r="I62" s="9">
        <f t="shared" si="1"/>
        <v>0.47</v>
      </c>
      <c r="J62" s="3" t="s">
        <v>18</v>
      </c>
      <c r="K62" s="4" t="s">
        <v>488</v>
      </c>
      <c r="L62" s="4" t="s">
        <v>191</v>
      </c>
      <c r="M62" s="4" t="s">
        <v>489</v>
      </c>
      <c r="N62" s="4" t="s">
        <v>168</v>
      </c>
    </row>
    <row r="63" spans="1:14" ht="15" customHeight="1" x14ac:dyDescent="0.25">
      <c r="A63" s="7" t="s">
        <v>490</v>
      </c>
      <c r="B63" s="7" t="s">
        <v>491</v>
      </c>
      <c r="C63" s="6" t="s">
        <v>256</v>
      </c>
      <c r="D63" s="6" t="s">
        <v>492</v>
      </c>
      <c r="E63" s="7" t="s">
        <v>228</v>
      </c>
      <c r="F63" s="8">
        <v>250</v>
      </c>
      <c r="G63" s="7" t="s">
        <v>163</v>
      </c>
      <c r="H63" s="7">
        <v>1000</v>
      </c>
      <c r="I63" s="10">
        <f t="shared" si="1"/>
        <v>0.25</v>
      </c>
      <c r="J63" s="6" t="s">
        <v>493</v>
      </c>
      <c r="K63" s="7" t="s">
        <v>267</v>
      </c>
      <c r="L63" s="7" t="s">
        <v>419</v>
      </c>
      <c r="M63" s="7" t="s">
        <v>224</v>
      </c>
      <c r="N63" s="7" t="s">
        <v>168</v>
      </c>
    </row>
    <row r="64" spans="1:14" ht="15" customHeight="1" x14ac:dyDescent="0.25">
      <c r="A64" s="4" t="s">
        <v>494</v>
      </c>
      <c r="B64" s="4" t="s">
        <v>495</v>
      </c>
      <c r="C64" s="3" t="s">
        <v>160</v>
      </c>
      <c r="D64" s="3" t="s">
        <v>496</v>
      </c>
      <c r="E64" s="4" t="s">
        <v>173</v>
      </c>
      <c r="F64" s="5">
        <v>620</v>
      </c>
      <c r="G64" s="4" t="s">
        <v>174</v>
      </c>
      <c r="H64" s="4">
        <v>1000</v>
      </c>
      <c r="I64" s="9">
        <f t="shared" si="1"/>
        <v>0.62</v>
      </c>
      <c r="J64" s="3" t="s">
        <v>30</v>
      </c>
      <c r="K64" s="4" t="s">
        <v>184</v>
      </c>
      <c r="L64" s="4" t="s">
        <v>497</v>
      </c>
      <c r="M64" s="4" t="s">
        <v>498</v>
      </c>
      <c r="N64" s="4" t="s">
        <v>168</v>
      </c>
    </row>
    <row r="65" spans="1:14" ht="15" customHeight="1" x14ac:dyDescent="0.25">
      <c r="A65" s="7" t="s">
        <v>499</v>
      </c>
      <c r="B65" s="7" t="s">
        <v>500</v>
      </c>
      <c r="C65" s="6" t="s">
        <v>199</v>
      </c>
      <c r="D65" s="6" t="s">
        <v>501</v>
      </c>
      <c r="E65" s="7" t="s">
        <v>173</v>
      </c>
      <c r="F65" s="8">
        <v>180</v>
      </c>
      <c r="G65" s="7" t="s">
        <v>174</v>
      </c>
      <c r="H65" s="7">
        <v>1000</v>
      </c>
      <c r="I65" s="10">
        <f t="shared" si="1"/>
        <v>0.18</v>
      </c>
      <c r="J65" s="6" t="s">
        <v>299</v>
      </c>
      <c r="K65" s="7" t="s">
        <v>184</v>
      </c>
      <c r="L65" s="7" t="s">
        <v>347</v>
      </c>
      <c r="M65" s="7" t="s">
        <v>72</v>
      </c>
      <c r="N65" s="7" t="s">
        <v>168</v>
      </c>
    </row>
    <row r="66" spans="1:14" ht="15" customHeight="1" x14ac:dyDescent="0.25">
      <c r="A66" s="4" t="s">
        <v>502</v>
      </c>
      <c r="B66" s="4" t="s">
        <v>503</v>
      </c>
      <c r="C66" s="3" t="s">
        <v>256</v>
      </c>
      <c r="D66" s="3" t="s">
        <v>504</v>
      </c>
      <c r="E66" s="4" t="s">
        <v>173</v>
      </c>
      <c r="F66" s="5">
        <v>220</v>
      </c>
      <c r="G66" s="4" t="s">
        <v>174</v>
      </c>
      <c r="H66" s="4">
        <v>1000</v>
      </c>
      <c r="I66" s="9">
        <f t="shared" ref="I66:I97" si="2">IFERROR(F66/H66,0)</f>
        <v>0.22</v>
      </c>
      <c r="J66" s="3" t="s">
        <v>31</v>
      </c>
      <c r="K66" s="4" t="s">
        <v>229</v>
      </c>
      <c r="L66" s="4" t="s">
        <v>336</v>
      </c>
      <c r="M66" s="4" t="s">
        <v>505</v>
      </c>
      <c r="N66" s="4" t="s">
        <v>168</v>
      </c>
    </row>
    <row r="67" spans="1:14" ht="25.5" customHeight="1" x14ac:dyDescent="0.25">
      <c r="A67" s="7" t="s">
        <v>506</v>
      </c>
      <c r="B67" s="7" t="s">
        <v>507</v>
      </c>
      <c r="C67" s="6" t="s">
        <v>324</v>
      </c>
      <c r="D67" s="6" t="s">
        <v>508</v>
      </c>
      <c r="E67" s="7" t="s">
        <v>228</v>
      </c>
      <c r="F67" s="8">
        <v>420</v>
      </c>
      <c r="G67" s="7" t="s">
        <v>163</v>
      </c>
      <c r="H67" s="7">
        <v>1000</v>
      </c>
      <c r="I67" s="10">
        <f t="shared" si="2"/>
        <v>0.42</v>
      </c>
      <c r="J67" s="6" t="s">
        <v>25</v>
      </c>
      <c r="K67" s="7" t="s">
        <v>327</v>
      </c>
      <c r="L67" s="7" t="s">
        <v>223</v>
      </c>
      <c r="M67" s="7" t="s">
        <v>509</v>
      </c>
      <c r="N67" s="7" t="s">
        <v>270</v>
      </c>
    </row>
    <row r="68" spans="1:14" ht="15" customHeight="1" x14ac:dyDescent="0.25">
      <c r="A68" s="4" t="s">
        <v>510</v>
      </c>
      <c r="B68" s="4" t="s">
        <v>511</v>
      </c>
      <c r="C68" s="3" t="s">
        <v>199</v>
      </c>
      <c r="D68" s="3" t="s">
        <v>512</v>
      </c>
      <c r="E68" s="4" t="s">
        <v>173</v>
      </c>
      <c r="F68" s="5">
        <v>90</v>
      </c>
      <c r="G68" s="4" t="s">
        <v>174</v>
      </c>
      <c r="H68" s="4">
        <v>1000</v>
      </c>
      <c r="I68" s="9">
        <f t="shared" si="2"/>
        <v>0.09</v>
      </c>
      <c r="J68" s="3" t="s">
        <v>513</v>
      </c>
      <c r="K68" s="4" t="s">
        <v>388</v>
      </c>
      <c r="L68" s="4" t="s">
        <v>389</v>
      </c>
      <c r="M68" s="4" t="s">
        <v>342</v>
      </c>
      <c r="N68" s="4" t="s">
        <v>168</v>
      </c>
    </row>
    <row r="69" spans="1:14" ht="15" customHeight="1" x14ac:dyDescent="0.25">
      <c r="A69" s="7" t="s">
        <v>514</v>
      </c>
      <c r="B69" s="7" t="s">
        <v>515</v>
      </c>
      <c r="C69" s="6" t="s">
        <v>211</v>
      </c>
      <c r="D69" s="6" t="s">
        <v>516</v>
      </c>
      <c r="E69" s="7" t="s">
        <v>173</v>
      </c>
      <c r="F69" s="8">
        <v>280</v>
      </c>
      <c r="G69" s="7" t="s">
        <v>174</v>
      </c>
      <c r="H69" s="7">
        <v>1000</v>
      </c>
      <c r="I69" s="10">
        <f t="shared" si="2"/>
        <v>0.28000000000000003</v>
      </c>
      <c r="J69" s="6" t="s">
        <v>354</v>
      </c>
      <c r="K69" s="7" t="s">
        <v>176</v>
      </c>
      <c r="L69" s="7" t="s">
        <v>399</v>
      </c>
      <c r="M69" s="7" t="s">
        <v>400</v>
      </c>
      <c r="N69" s="7" t="s">
        <v>168</v>
      </c>
    </row>
    <row r="70" spans="1:14" ht="15" customHeight="1" x14ac:dyDescent="0.25">
      <c r="A70" s="4" t="s">
        <v>517</v>
      </c>
      <c r="B70" s="4" t="s">
        <v>518</v>
      </c>
      <c r="C70" s="3" t="s">
        <v>219</v>
      </c>
      <c r="D70" s="3" t="s">
        <v>519</v>
      </c>
      <c r="E70" s="4" t="s">
        <v>228</v>
      </c>
      <c r="F70" s="5">
        <v>140</v>
      </c>
      <c r="G70" s="4" t="s">
        <v>163</v>
      </c>
      <c r="H70" s="4">
        <v>1000</v>
      </c>
      <c r="I70" s="9">
        <f t="shared" si="2"/>
        <v>0.14000000000000001</v>
      </c>
      <c r="J70" s="3" t="s">
        <v>20</v>
      </c>
      <c r="K70" s="4" t="s">
        <v>259</v>
      </c>
      <c r="L70" s="4" t="s">
        <v>464</v>
      </c>
      <c r="M70" s="4" t="s">
        <v>286</v>
      </c>
      <c r="N70" s="4" t="s">
        <v>168</v>
      </c>
    </row>
    <row r="71" spans="1:14" ht="15" customHeight="1" x14ac:dyDescent="0.25">
      <c r="A71" s="7" t="s">
        <v>520</v>
      </c>
      <c r="B71" s="7" t="s">
        <v>521</v>
      </c>
      <c r="C71" s="6" t="s">
        <v>199</v>
      </c>
      <c r="D71" s="6" t="s">
        <v>522</v>
      </c>
      <c r="E71" s="7" t="s">
        <v>173</v>
      </c>
      <c r="F71" s="8">
        <v>100</v>
      </c>
      <c r="G71" s="7" t="s">
        <v>174</v>
      </c>
      <c r="H71" s="7">
        <v>1000</v>
      </c>
      <c r="I71" s="10">
        <f t="shared" si="2"/>
        <v>0.1</v>
      </c>
      <c r="J71" s="6" t="s">
        <v>20</v>
      </c>
      <c r="K71" s="7" t="s">
        <v>184</v>
      </c>
      <c r="L71" s="7" t="s">
        <v>523</v>
      </c>
      <c r="M71" s="7" t="s">
        <v>470</v>
      </c>
      <c r="N71" s="7" t="s">
        <v>168</v>
      </c>
    </row>
    <row r="72" spans="1:14" ht="15" customHeight="1" x14ac:dyDescent="0.25">
      <c r="A72" s="4" t="s">
        <v>524</v>
      </c>
      <c r="B72" s="4" t="s">
        <v>525</v>
      </c>
      <c r="C72" s="3" t="s">
        <v>256</v>
      </c>
      <c r="D72" s="3" t="s">
        <v>526</v>
      </c>
      <c r="E72" s="4" t="s">
        <v>228</v>
      </c>
      <c r="F72" s="5">
        <v>120</v>
      </c>
      <c r="G72" s="4" t="s">
        <v>163</v>
      </c>
      <c r="H72" s="4">
        <v>1000</v>
      </c>
      <c r="I72" s="9">
        <f t="shared" si="2"/>
        <v>0.12</v>
      </c>
      <c r="J72" s="3" t="s">
        <v>527</v>
      </c>
      <c r="K72" s="4" t="s">
        <v>229</v>
      </c>
      <c r="L72" s="4" t="s">
        <v>196</v>
      </c>
      <c r="M72" s="4" t="s">
        <v>459</v>
      </c>
      <c r="N72" s="4" t="s">
        <v>168</v>
      </c>
    </row>
    <row r="73" spans="1:14" ht="15" customHeight="1" x14ac:dyDescent="0.25">
      <c r="A73" s="7" t="s">
        <v>528</v>
      </c>
      <c r="B73" s="7" t="s">
        <v>529</v>
      </c>
      <c r="C73" s="6" t="s">
        <v>171</v>
      </c>
      <c r="D73" s="6" t="s">
        <v>530</v>
      </c>
      <c r="E73" s="7" t="s">
        <v>173</v>
      </c>
      <c r="F73" s="8">
        <v>180</v>
      </c>
      <c r="G73" s="7" t="s">
        <v>174</v>
      </c>
      <c r="H73" s="7">
        <v>1000</v>
      </c>
      <c r="I73" s="10">
        <f t="shared" si="2"/>
        <v>0.18</v>
      </c>
      <c r="J73" s="6" t="s">
        <v>31</v>
      </c>
      <c r="K73" s="7" t="s">
        <v>176</v>
      </c>
      <c r="L73" s="7" t="s">
        <v>235</v>
      </c>
      <c r="M73" s="7" t="s">
        <v>236</v>
      </c>
      <c r="N73" s="7" t="s">
        <v>168</v>
      </c>
    </row>
    <row r="74" spans="1:14" ht="25.5" customHeight="1" x14ac:dyDescent="0.25">
      <c r="A74" s="4" t="s">
        <v>531</v>
      </c>
      <c r="B74" s="4" t="s">
        <v>532</v>
      </c>
      <c r="C74" s="3" t="s">
        <v>211</v>
      </c>
      <c r="D74" s="3" t="s">
        <v>533</v>
      </c>
      <c r="E74" s="4" t="s">
        <v>173</v>
      </c>
      <c r="F74" s="5">
        <v>600</v>
      </c>
      <c r="G74" s="4" t="s">
        <v>174</v>
      </c>
      <c r="H74" s="4">
        <v>1000</v>
      </c>
      <c r="I74" s="9">
        <f t="shared" si="2"/>
        <v>0.6</v>
      </c>
      <c r="J74" s="3" t="s">
        <v>534</v>
      </c>
      <c r="K74" s="4" t="s">
        <v>176</v>
      </c>
      <c r="L74" s="4" t="s">
        <v>304</v>
      </c>
      <c r="M74" s="4" t="s">
        <v>215</v>
      </c>
      <c r="N74" s="4" t="s">
        <v>168</v>
      </c>
    </row>
    <row r="75" spans="1:14" ht="51" customHeight="1" x14ac:dyDescent="0.25">
      <c r="A75" s="7" t="s">
        <v>535</v>
      </c>
      <c r="B75" s="7" t="s">
        <v>536</v>
      </c>
      <c r="C75" s="6" t="s">
        <v>160</v>
      </c>
      <c r="D75" s="6" t="s">
        <v>537</v>
      </c>
      <c r="E75" s="7" t="s">
        <v>173</v>
      </c>
      <c r="F75" s="8">
        <v>850</v>
      </c>
      <c r="G75" s="7" t="s">
        <v>174</v>
      </c>
      <c r="H75" s="7">
        <v>1000</v>
      </c>
      <c r="I75" s="10">
        <f t="shared" si="2"/>
        <v>0.85</v>
      </c>
      <c r="J75" s="6" t="s">
        <v>538</v>
      </c>
      <c r="K75" s="7" t="s">
        <v>184</v>
      </c>
      <c r="L75" s="7" t="s">
        <v>539</v>
      </c>
      <c r="M75" s="7" t="s">
        <v>540</v>
      </c>
      <c r="N75" s="7" t="s">
        <v>216</v>
      </c>
    </row>
    <row r="76" spans="1:14" ht="25.5" customHeight="1" x14ac:dyDescent="0.25">
      <c r="A76" s="4" t="s">
        <v>541</v>
      </c>
      <c r="B76" s="4" t="s">
        <v>542</v>
      </c>
      <c r="C76" s="3" t="s">
        <v>199</v>
      </c>
      <c r="D76" s="3" t="s">
        <v>543</v>
      </c>
      <c r="E76" s="4" t="s">
        <v>544</v>
      </c>
      <c r="F76" s="5">
        <v>25</v>
      </c>
      <c r="G76" s="4" t="s">
        <v>174</v>
      </c>
      <c r="H76" s="4">
        <v>30</v>
      </c>
      <c r="I76" s="9">
        <f t="shared" si="2"/>
        <v>0.83333333333333337</v>
      </c>
      <c r="J76" s="3" t="s">
        <v>545</v>
      </c>
      <c r="K76" s="4" t="s">
        <v>184</v>
      </c>
      <c r="L76" s="4" t="s">
        <v>341</v>
      </c>
      <c r="M76" s="4" t="s">
        <v>72</v>
      </c>
      <c r="N76" s="4" t="s">
        <v>168</v>
      </c>
    </row>
    <row r="77" spans="1:14" ht="15" customHeight="1" x14ac:dyDescent="0.25">
      <c r="A77" s="7" t="s">
        <v>546</v>
      </c>
      <c r="B77" s="7" t="s">
        <v>547</v>
      </c>
      <c r="C77" s="6" t="s">
        <v>256</v>
      </c>
      <c r="D77" s="6" t="s">
        <v>548</v>
      </c>
      <c r="E77" s="7" t="s">
        <v>173</v>
      </c>
      <c r="F77" s="8">
        <v>480</v>
      </c>
      <c r="G77" s="7" t="s">
        <v>174</v>
      </c>
      <c r="H77" s="7">
        <v>1000</v>
      </c>
      <c r="I77" s="10">
        <f t="shared" si="2"/>
        <v>0.48</v>
      </c>
      <c r="J77" s="6" t="s">
        <v>25</v>
      </c>
      <c r="K77" s="7" t="s">
        <v>229</v>
      </c>
      <c r="L77" s="7" t="s">
        <v>336</v>
      </c>
      <c r="M77" s="7" t="s">
        <v>549</v>
      </c>
      <c r="N77" s="7" t="s">
        <v>270</v>
      </c>
    </row>
    <row r="78" spans="1:14" ht="15" customHeight="1" x14ac:dyDescent="0.25">
      <c r="A78" s="4" t="s">
        <v>550</v>
      </c>
      <c r="B78" s="4" t="s">
        <v>551</v>
      </c>
      <c r="C78" s="3" t="s">
        <v>256</v>
      </c>
      <c r="D78" s="3" t="s">
        <v>552</v>
      </c>
      <c r="E78" s="4" t="s">
        <v>173</v>
      </c>
      <c r="F78" s="5">
        <v>260</v>
      </c>
      <c r="G78" s="4" t="s">
        <v>174</v>
      </c>
      <c r="H78" s="4">
        <v>1000</v>
      </c>
      <c r="I78" s="9">
        <f t="shared" si="2"/>
        <v>0.26</v>
      </c>
      <c r="J78" s="3" t="s">
        <v>43</v>
      </c>
      <c r="K78" s="4" t="s">
        <v>259</v>
      </c>
      <c r="L78" s="4" t="s">
        <v>415</v>
      </c>
      <c r="M78" s="4" t="s">
        <v>553</v>
      </c>
      <c r="N78" s="4" t="s">
        <v>168</v>
      </c>
    </row>
    <row r="79" spans="1:14" ht="15" customHeight="1" x14ac:dyDescent="0.25">
      <c r="A79" s="7" t="s">
        <v>554</v>
      </c>
      <c r="B79" s="7" t="s">
        <v>555</v>
      </c>
      <c r="C79" s="6" t="s">
        <v>199</v>
      </c>
      <c r="D79" s="6" t="s">
        <v>556</v>
      </c>
      <c r="E79" s="7" t="s">
        <v>173</v>
      </c>
      <c r="F79" s="8">
        <v>220</v>
      </c>
      <c r="G79" s="7" t="s">
        <v>174</v>
      </c>
      <c r="H79" s="7">
        <v>1000</v>
      </c>
      <c r="I79" s="10">
        <f t="shared" si="2"/>
        <v>0.22</v>
      </c>
      <c r="J79" s="6" t="s">
        <v>33</v>
      </c>
      <c r="K79" s="7" t="s">
        <v>259</v>
      </c>
      <c r="L79" s="7" t="s">
        <v>285</v>
      </c>
      <c r="M79" s="7" t="s">
        <v>248</v>
      </c>
      <c r="N79" s="7" t="s">
        <v>168</v>
      </c>
    </row>
    <row r="80" spans="1:14" ht="15" customHeight="1" x14ac:dyDescent="0.25">
      <c r="A80" s="4" t="s">
        <v>557</v>
      </c>
      <c r="B80" s="4" t="s">
        <v>558</v>
      </c>
      <c r="C80" s="3" t="s">
        <v>160</v>
      </c>
      <c r="D80" s="3" t="s">
        <v>559</v>
      </c>
      <c r="E80" s="4" t="s">
        <v>173</v>
      </c>
      <c r="F80" s="5">
        <v>280</v>
      </c>
      <c r="G80" s="4" t="s">
        <v>174</v>
      </c>
      <c r="H80" s="4">
        <v>1000</v>
      </c>
      <c r="I80" s="9">
        <f t="shared" si="2"/>
        <v>0.28000000000000003</v>
      </c>
      <c r="J80" s="3" t="s">
        <v>62</v>
      </c>
      <c r="K80" s="4" t="s">
        <v>184</v>
      </c>
      <c r="L80" s="4" t="s">
        <v>560</v>
      </c>
      <c r="M80" s="4" t="s">
        <v>561</v>
      </c>
      <c r="N80" s="4" t="s">
        <v>168</v>
      </c>
    </row>
    <row r="81" spans="1:14" ht="15" customHeight="1" x14ac:dyDescent="0.25">
      <c r="A81" s="7" t="s">
        <v>562</v>
      </c>
      <c r="B81" s="7" t="s">
        <v>563</v>
      </c>
      <c r="C81" s="6" t="s">
        <v>181</v>
      </c>
      <c r="D81" s="6" t="s">
        <v>564</v>
      </c>
      <c r="E81" s="7" t="s">
        <v>173</v>
      </c>
      <c r="F81" s="8">
        <v>280</v>
      </c>
      <c r="G81" s="7" t="s">
        <v>174</v>
      </c>
      <c r="H81" s="7">
        <v>1000</v>
      </c>
      <c r="I81" s="10">
        <f t="shared" si="2"/>
        <v>0.28000000000000003</v>
      </c>
      <c r="J81" s="6" t="s">
        <v>565</v>
      </c>
      <c r="K81" s="7" t="s">
        <v>206</v>
      </c>
      <c r="L81" s="7" t="s">
        <v>207</v>
      </c>
      <c r="M81" s="7" t="s">
        <v>208</v>
      </c>
      <c r="N81" s="7" t="s">
        <v>216</v>
      </c>
    </row>
    <row r="82" spans="1:14" ht="63.75" customHeight="1" x14ac:dyDescent="0.25">
      <c r="A82" s="4" t="s">
        <v>566</v>
      </c>
      <c r="B82" s="4" t="s">
        <v>37</v>
      </c>
      <c r="C82" s="3" t="s">
        <v>181</v>
      </c>
      <c r="D82" s="3" t="s">
        <v>567</v>
      </c>
      <c r="E82" s="4" t="s">
        <v>173</v>
      </c>
      <c r="F82" s="5">
        <v>280</v>
      </c>
      <c r="G82" s="4" t="s">
        <v>174</v>
      </c>
      <c r="H82" s="4">
        <v>1000</v>
      </c>
      <c r="I82" s="9">
        <f t="shared" si="2"/>
        <v>0.28000000000000003</v>
      </c>
      <c r="J82" s="3" t="s">
        <v>37</v>
      </c>
      <c r="K82" s="4" t="s">
        <v>206</v>
      </c>
      <c r="L82" s="4" t="s">
        <v>568</v>
      </c>
      <c r="M82" s="4" t="s">
        <v>569</v>
      </c>
      <c r="N82" s="4" t="s">
        <v>168</v>
      </c>
    </row>
    <row r="83" spans="1:14" ht="15" customHeight="1" x14ac:dyDescent="0.25">
      <c r="A83" s="7" t="s">
        <v>570</v>
      </c>
      <c r="B83" s="7" t="s">
        <v>571</v>
      </c>
      <c r="C83" s="6" t="s">
        <v>171</v>
      </c>
      <c r="D83" s="6" t="s">
        <v>572</v>
      </c>
      <c r="E83" s="7" t="s">
        <v>173</v>
      </c>
      <c r="F83" s="8">
        <v>95</v>
      </c>
      <c r="G83" s="7" t="s">
        <v>174</v>
      </c>
      <c r="H83" s="7">
        <v>1000</v>
      </c>
      <c r="I83" s="10">
        <f t="shared" si="2"/>
        <v>9.5000000000000001E-2</v>
      </c>
      <c r="J83" s="6" t="s">
        <v>18</v>
      </c>
      <c r="K83" s="7" t="s">
        <v>176</v>
      </c>
      <c r="L83" s="7" t="s">
        <v>196</v>
      </c>
      <c r="M83" s="7" t="s">
        <v>241</v>
      </c>
      <c r="N83" s="7" t="s">
        <v>168</v>
      </c>
    </row>
    <row r="84" spans="1:14" ht="51" customHeight="1" x14ac:dyDescent="0.25">
      <c r="A84" s="4" t="s">
        <v>573</v>
      </c>
      <c r="B84" s="4" t="s">
        <v>574</v>
      </c>
      <c r="C84" s="3" t="s">
        <v>575</v>
      </c>
      <c r="D84" s="3" t="s">
        <v>576</v>
      </c>
      <c r="E84" s="4" t="s">
        <v>577</v>
      </c>
      <c r="F84" s="5">
        <f>'7. Ingredient &amp; Recipe Costing'!D34</f>
        <v>5.3939999999999992</v>
      </c>
      <c r="G84" s="4" t="s">
        <v>163</v>
      </c>
      <c r="H84" s="4">
        <v>32</v>
      </c>
      <c r="I84" s="9">
        <f t="shared" si="2"/>
        <v>0.16856249999999998</v>
      </c>
      <c r="J84" s="3" t="s">
        <v>55</v>
      </c>
      <c r="K84" s="4" t="s">
        <v>184</v>
      </c>
      <c r="L84" s="4" t="s">
        <v>578</v>
      </c>
      <c r="M84" s="4" t="s">
        <v>579</v>
      </c>
      <c r="N84" s="4" t="s">
        <v>580</v>
      </c>
    </row>
    <row r="85" spans="1:14" ht="15" customHeight="1" x14ac:dyDescent="0.25">
      <c r="A85" s="7" t="s">
        <v>581</v>
      </c>
      <c r="B85" s="7" t="s">
        <v>582</v>
      </c>
      <c r="C85" s="6" t="s">
        <v>199</v>
      </c>
      <c r="D85" s="6" t="s">
        <v>583</v>
      </c>
      <c r="E85" s="7" t="s">
        <v>173</v>
      </c>
      <c r="F85" s="8">
        <v>160</v>
      </c>
      <c r="G85" s="7" t="s">
        <v>174</v>
      </c>
      <c r="H85" s="7">
        <v>1000</v>
      </c>
      <c r="I85" s="10">
        <f t="shared" si="2"/>
        <v>0.16</v>
      </c>
      <c r="J85" s="6" t="s">
        <v>29</v>
      </c>
      <c r="K85" s="7" t="s">
        <v>184</v>
      </c>
      <c r="L85" s="7" t="s">
        <v>252</v>
      </c>
      <c r="M85" s="7" t="s">
        <v>72</v>
      </c>
      <c r="N85" s="7" t="s">
        <v>168</v>
      </c>
    </row>
    <row r="86" spans="1:14" ht="38.25" customHeight="1" x14ac:dyDescent="0.25">
      <c r="A86" s="4" t="s">
        <v>584</v>
      </c>
      <c r="B86" s="4" t="s">
        <v>585</v>
      </c>
      <c r="C86" s="3" t="s">
        <v>256</v>
      </c>
      <c r="D86" s="3" t="s">
        <v>586</v>
      </c>
      <c r="E86" s="4" t="s">
        <v>228</v>
      </c>
      <c r="F86" s="5">
        <v>150</v>
      </c>
      <c r="G86" s="4" t="s">
        <v>163</v>
      </c>
      <c r="H86" s="4">
        <v>1000</v>
      </c>
      <c r="I86" s="9">
        <f t="shared" si="2"/>
        <v>0.15</v>
      </c>
      <c r="J86" s="3" t="s">
        <v>587</v>
      </c>
      <c r="K86" s="4" t="s">
        <v>267</v>
      </c>
      <c r="L86" s="4" t="s">
        <v>588</v>
      </c>
      <c r="M86" s="4" t="s">
        <v>224</v>
      </c>
      <c r="N86" s="4" t="s">
        <v>216</v>
      </c>
    </row>
    <row r="87" spans="1:14" ht="15" customHeight="1" x14ac:dyDescent="0.25">
      <c r="A87" s="7" t="s">
        <v>589</v>
      </c>
      <c r="B87" s="7" t="s">
        <v>590</v>
      </c>
      <c r="C87" s="6" t="s">
        <v>199</v>
      </c>
      <c r="D87" s="6" t="s">
        <v>591</v>
      </c>
      <c r="E87" s="7" t="s">
        <v>173</v>
      </c>
      <c r="F87" s="8">
        <v>110</v>
      </c>
      <c r="G87" s="7" t="s">
        <v>174</v>
      </c>
      <c r="H87" s="7">
        <v>1000</v>
      </c>
      <c r="I87" s="10">
        <f t="shared" si="2"/>
        <v>0.11</v>
      </c>
      <c r="J87" s="6" t="s">
        <v>59</v>
      </c>
      <c r="K87" s="7" t="s">
        <v>201</v>
      </c>
      <c r="L87" s="7" t="s">
        <v>592</v>
      </c>
      <c r="M87" s="7" t="s">
        <v>593</v>
      </c>
      <c r="N87" s="7" t="s">
        <v>168</v>
      </c>
    </row>
    <row r="88" spans="1:14" ht="15" customHeight="1" x14ac:dyDescent="0.25">
      <c r="A88" s="4" t="s">
        <v>594</v>
      </c>
      <c r="B88" s="4" t="s">
        <v>595</v>
      </c>
      <c r="C88" s="3" t="s">
        <v>219</v>
      </c>
      <c r="D88" s="3" t="s">
        <v>596</v>
      </c>
      <c r="E88" s="4" t="s">
        <v>312</v>
      </c>
      <c r="F88" s="5">
        <v>38</v>
      </c>
      <c r="G88" s="4" t="s">
        <v>313</v>
      </c>
      <c r="H88" s="4">
        <v>1</v>
      </c>
      <c r="I88" s="9">
        <f t="shared" si="2"/>
        <v>38</v>
      </c>
      <c r="J88" s="3" t="s">
        <v>51</v>
      </c>
      <c r="K88" s="4" t="s">
        <v>267</v>
      </c>
      <c r="L88" s="4" t="s">
        <v>314</v>
      </c>
      <c r="M88" s="4" t="s">
        <v>72</v>
      </c>
      <c r="N88" s="4" t="s">
        <v>168</v>
      </c>
    </row>
    <row r="89" spans="1:14" ht="191.25" customHeight="1" x14ac:dyDescent="0.25">
      <c r="A89" s="7" t="s">
        <v>597</v>
      </c>
      <c r="B89" s="7" t="s">
        <v>598</v>
      </c>
      <c r="C89" s="6" t="s">
        <v>211</v>
      </c>
      <c r="D89" s="6" t="s">
        <v>599</v>
      </c>
      <c r="E89" s="7" t="s">
        <v>173</v>
      </c>
      <c r="F89" s="8">
        <v>30</v>
      </c>
      <c r="G89" s="7" t="s">
        <v>174</v>
      </c>
      <c r="H89" s="7">
        <v>1000</v>
      </c>
      <c r="I89" s="10">
        <f t="shared" si="2"/>
        <v>0.03</v>
      </c>
      <c r="J89" s="6" t="s">
        <v>213</v>
      </c>
      <c r="K89" s="7" t="s">
        <v>176</v>
      </c>
      <c r="L89" s="7" t="s">
        <v>600</v>
      </c>
      <c r="M89" s="7" t="s">
        <v>601</v>
      </c>
      <c r="N89" s="7" t="s">
        <v>168</v>
      </c>
    </row>
    <row r="90" spans="1:14" ht="15" customHeight="1" x14ac:dyDescent="0.25">
      <c r="A90" s="4" t="s">
        <v>602</v>
      </c>
      <c r="B90" s="4" t="s">
        <v>603</v>
      </c>
      <c r="C90" s="3" t="s">
        <v>357</v>
      </c>
      <c r="D90" s="3" t="s">
        <v>604</v>
      </c>
      <c r="E90" s="4" t="s">
        <v>222</v>
      </c>
      <c r="F90" s="5">
        <v>10</v>
      </c>
      <c r="G90" s="4" t="s">
        <v>222</v>
      </c>
      <c r="H90" s="4">
        <v>1</v>
      </c>
      <c r="I90" s="9">
        <f t="shared" si="2"/>
        <v>10</v>
      </c>
      <c r="J90" s="3" t="s">
        <v>10</v>
      </c>
      <c r="K90" s="4" t="s">
        <v>184</v>
      </c>
      <c r="L90" s="4" t="s">
        <v>605</v>
      </c>
      <c r="M90" s="4" t="s">
        <v>606</v>
      </c>
      <c r="N90" s="4" t="s">
        <v>168</v>
      </c>
    </row>
    <row r="91" spans="1:14" ht="25.5" customHeight="1" x14ac:dyDescent="0.25">
      <c r="A91" s="7" t="s">
        <v>607</v>
      </c>
      <c r="B91" s="7" t="s">
        <v>608</v>
      </c>
      <c r="C91" s="6" t="s">
        <v>324</v>
      </c>
      <c r="D91" s="6" t="s">
        <v>609</v>
      </c>
      <c r="E91" s="7" t="s">
        <v>610</v>
      </c>
      <c r="F91" s="8">
        <v>540</v>
      </c>
      <c r="G91" s="7" t="s">
        <v>163</v>
      </c>
      <c r="H91" s="7">
        <v>750</v>
      </c>
      <c r="I91" s="10">
        <f t="shared" si="2"/>
        <v>0.72</v>
      </c>
      <c r="J91" s="6" t="s">
        <v>611</v>
      </c>
      <c r="K91" s="7" t="s">
        <v>327</v>
      </c>
      <c r="L91" s="7" t="s">
        <v>223</v>
      </c>
      <c r="M91" s="7" t="s">
        <v>505</v>
      </c>
      <c r="N91" s="7" t="s">
        <v>168</v>
      </c>
    </row>
    <row r="92" spans="1:14" ht="38.25" customHeight="1" x14ac:dyDescent="0.25">
      <c r="A92" s="4" t="s">
        <v>612</v>
      </c>
      <c r="B92" s="4" t="s">
        <v>613</v>
      </c>
      <c r="C92" s="3" t="s">
        <v>211</v>
      </c>
      <c r="D92" s="3" t="s">
        <v>614</v>
      </c>
      <c r="E92" s="4" t="s">
        <v>173</v>
      </c>
      <c r="F92" s="5">
        <v>320</v>
      </c>
      <c r="G92" s="4" t="s">
        <v>174</v>
      </c>
      <c r="H92" s="4">
        <v>1000</v>
      </c>
      <c r="I92" s="9">
        <f t="shared" si="2"/>
        <v>0.32</v>
      </c>
      <c r="J92" s="3" t="s">
        <v>615</v>
      </c>
      <c r="K92" s="4" t="s">
        <v>176</v>
      </c>
      <c r="L92" s="4" t="s">
        <v>177</v>
      </c>
      <c r="M92" s="4" t="s">
        <v>616</v>
      </c>
      <c r="N92" s="4" t="s">
        <v>168</v>
      </c>
    </row>
    <row r="93" spans="1:14" ht="76.5" customHeight="1" x14ac:dyDescent="0.25">
      <c r="A93" s="7" t="s">
        <v>617</v>
      </c>
      <c r="B93" s="7" t="s">
        <v>618</v>
      </c>
      <c r="C93" s="6" t="s">
        <v>256</v>
      </c>
      <c r="D93" s="6" t="s">
        <v>619</v>
      </c>
      <c r="E93" s="7" t="s">
        <v>228</v>
      </c>
      <c r="F93" s="8">
        <v>65</v>
      </c>
      <c r="G93" s="7" t="s">
        <v>163</v>
      </c>
      <c r="H93" s="7">
        <v>1000</v>
      </c>
      <c r="I93" s="10">
        <f t="shared" si="2"/>
        <v>6.5000000000000002E-2</v>
      </c>
      <c r="J93" s="6" t="s">
        <v>620</v>
      </c>
      <c r="K93" s="7" t="s">
        <v>267</v>
      </c>
      <c r="L93" s="7" t="s">
        <v>223</v>
      </c>
      <c r="M93" s="7" t="s">
        <v>621</v>
      </c>
      <c r="N93" s="7" t="s">
        <v>168</v>
      </c>
    </row>
    <row r="94" spans="1:14" ht="15" customHeight="1" x14ac:dyDescent="0.25">
      <c r="A94" s="4" t="s">
        <v>622</v>
      </c>
      <c r="B94" s="4" t="s">
        <v>623</v>
      </c>
      <c r="C94" s="3" t="s">
        <v>181</v>
      </c>
      <c r="D94" s="3" t="s">
        <v>624</v>
      </c>
      <c r="E94" s="4" t="s">
        <v>625</v>
      </c>
      <c r="F94" s="5">
        <v>185</v>
      </c>
      <c r="G94" s="4" t="s">
        <v>174</v>
      </c>
      <c r="H94" s="4">
        <v>340</v>
      </c>
      <c r="I94" s="9">
        <f t="shared" si="2"/>
        <v>0.54411764705882348</v>
      </c>
      <c r="J94" s="3" t="s">
        <v>38</v>
      </c>
      <c r="K94" s="4" t="s">
        <v>165</v>
      </c>
      <c r="L94" s="4" t="s">
        <v>268</v>
      </c>
      <c r="M94" s="4" t="s">
        <v>626</v>
      </c>
      <c r="N94" s="4" t="s">
        <v>168</v>
      </c>
    </row>
    <row r="95" spans="1:14" ht="38.25" customHeight="1" x14ac:dyDescent="0.25">
      <c r="A95" s="7" t="s">
        <v>627</v>
      </c>
      <c r="B95" s="7" t="s">
        <v>628</v>
      </c>
      <c r="C95" s="6" t="s">
        <v>199</v>
      </c>
      <c r="D95" s="6" t="s">
        <v>629</v>
      </c>
      <c r="E95" s="7" t="s">
        <v>173</v>
      </c>
      <c r="F95" s="8">
        <v>120</v>
      </c>
      <c r="G95" s="7" t="s">
        <v>174</v>
      </c>
      <c r="H95" s="7">
        <v>1000</v>
      </c>
      <c r="I95" s="10">
        <f t="shared" si="2"/>
        <v>0.12</v>
      </c>
      <c r="J95" s="6" t="s">
        <v>630</v>
      </c>
      <c r="K95" s="7" t="s">
        <v>184</v>
      </c>
      <c r="L95" s="7" t="s">
        <v>341</v>
      </c>
      <c r="M95" s="7" t="s">
        <v>72</v>
      </c>
      <c r="N95" s="7" t="s">
        <v>168</v>
      </c>
    </row>
    <row r="96" spans="1:14" ht="15" customHeight="1" x14ac:dyDescent="0.25">
      <c r="A96" s="4" t="s">
        <v>631</v>
      </c>
      <c r="B96" s="4" t="s">
        <v>632</v>
      </c>
      <c r="C96" s="3" t="s">
        <v>219</v>
      </c>
      <c r="D96" s="3" t="s">
        <v>633</v>
      </c>
      <c r="E96" s="4" t="s">
        <v>312</v>
      </c>
      <c r="F96" s="5">
        <v>38</v>
      </c>
      <c r="G96" s="4" t="s">
        <v>313</v>
      </c>
      <c r="H96" s="4">
        <v>1</v>
      </c>
      <c r="I96" s="9">
        <f t="shared" si="2"/>
        <v>38</v>
      </c>
      <c r="J96" s="3" t="s">
        <v>48</v>
      </c>
      <c r="K96" s="4" t="s">
        <v>267</v>
      </c>
      <c r="L96" s="4" t="s">
        <v>314</v>
      </c>
      <c r="M96" s="4" t="s">
        <v>72</v>
      </c>
      <c r="N96" s="4" t="s">
        <v>168</v>
      </c>
    </row>
    <row r="97" spans="1:14" ht="15" customHeight="1" x14ac:dyDescent="0.25">
      <c r="A97" s="7" t="s">
        <v>634</v>
      </c>
      <c r="B97" s="7" t="s">
        <v>635</v>
      </c>
      <c r="C97" s="6" t="s">
        <v>256</v>
      </c>
      <c r="D97" s="6" t="s">
        <v>636</v>
      </c>
      <c r="E97" s="7" t="s">
        <v>228</v>
      </c>
      <c r="F97" s="8">
        <v>280</v>
      </c>
      <c r="G97" s="7" t="s">
        <v>163</v>
      </c>
      <c r="H97" s="7">
        <v>1000</v>
      </c>
      <c r="I97" s="10">
        <f t="shared" si="2"/>
        <v>0.28000000000000003</v>
      </c>
      <c r="J97" s="6" t="s">
        <v>17</v>
      </c>
      <c r="K97" s="7" t="s">
        <v>229</v>
      </c>
      <c r="L97" s="7" t="s">
        <v>419</v>
      </c>
      <c r="M97" s="7" t="s">
        <v>420</v>
      </c>
      <c r="N97" s="7" t="s">
        <v>168</v>
      </c>
    </row>
    <row r="98" spans="1:14" ht="15" customHeight="1" x14ac:dyDescent="0.25">
      <c r="A98" s="4" t="s">
        <v>637</v>
      </c>
      <c r="B98" s="4" t="s">
        <v>638</v>
      </c>
      <c r="C98" s="3" t="s">
        <v>199</v>
      </c>
      <c r="D98" s="3" t="s">
        <v>639</v>
      </c>
      <c r="E98" s="4" t="s">
        <v>173</v>
      </c>
      <c r="F98" s="5">
        <v>70</v>
      </c>
      <c r="G98" s="4" t="s">
        <v>174</v>
      </c>
      <c r="H98" s="4">
        <v>1000</v>
      </c>
      <c r="I98" s="9">
        <f t="shared" ref="I98:I109" si="3">IFERROR(F98/H98,0)</f>
        <v>7.0000000000000007E-2</v>
      </c>
      <c r="J98" s="3" t="s">
        <v>33</v>
      </c>
      <c r="K98" s="4" t="s">
        <v>184</v>
      </c>
      <c r="L98" s="4" t="s">
        <v>640</v>
      </c>
      <c r="M98" s="4" t="s">
        <v>72</v>
      </c>
      <c r="N98" s="4" t="s">
        <v>168</v>
      </c>
    </row>
    <row r="99" spans="1:14" ht="25.5" customHeight="1" x14ac:dyDescent="0.25">
      <c r="A99" s="7" t="s">
        <v>641</v>
      </c>
      <c r="B99" s="7" t="s">
        <v>642</v>
      </c>
      <c r="C99" s="6" t="s">
        <v>171</v>
      </c>
      <c r="D99" s="6" t="s">
        <v>643</v>
      </c>
      <c r="E99" s="7" t="s">
        <v>173</v>
      </c>
      <c r="F99" s="8">
        <v>140</v>
      </c>
      <c r="G99" s="7" t="s">
        <v>174</v>
      </c>
      <c r="H99" s="7">
        <v>1000</v>
      </c>
      <c r="I99" s="10">
        <f t="shared" si="3"/>
        <v>0.14000000000000001</v>
      </c>
      <c r="J99" s="6" t="s">
        <v>33</v>
      </c>
      <c r="K99" s="7" t="s">
        <v>176</v>
      </c>
      <c r="L99" s="7" t="s">
        <v>336</v>
      </c>
      <c r="M99" s="7" t="s">
        <v>337</v>
      </c>
      <c r="N99" s="7" t="s">
        <v>168</v>
      </c>
    </row>
    <row r="100" spans="1:14" ht="15" customHeight="1" x14ac:dyDescent="0.25">
      <c r="A100" s="4" t="s">
        <v>644</v>
      </c>
      <c r="B100" s="4" t="s">
        <v>645</v>
      </c>
      <c r="C100" s="3" t="s">
        <v>256</v>
      </c>
      <c r="D100" s="3" t="s">
        <v>646</v>
      </c>
      <c r="E100" s="4" t="s">
        <v>173</v>
      </c>
      <c r="F100" s="5">
        <v>280</v>
      </c>
      <c r="G100" s="4" t="s">
        <v>174</v>
      </c>
      <c r="H100" s="4">
        <v>1000</v>
      </c>
      <c r="I100" s="9">
        <f t="shared" si="3"/>
        <v>0.28000000000000003</v>
      </c>
      <c r="J100" s="3" t="s">
        <v>31</v>
      </c>
      <c r="K100" s="4" t="s">
        <v>229</v>
      </c>
      <c r="L100" s="4" t="s">
        <v>196</v>
      </c>
      <c r="M100" s="4" t="s">
        <v>459</v>
      </c>
      <c r="N100" s="4" t="s">
        <v>168</v>
      </c>
    </row>
    <row r="101" spans="1:14" ht="15" customHeight="1" x14ac:dyDescent="0.25">
      <c r="A101" s="7" t="s">
        <v>647</v>
      </c>
      <c r="B101" s="7" t="s">
        <v>648</v>
      </c>
      <c r="C101" s="6" t="s">
        <v>324</v>
      </c>
      <c r="D101" s="6" t="s">
        <v>649</v>
      </c>
      <c r="E101" s="7" t="s">
        <v>650</v>
      </c>
      <c r="F101" s="8">
        <v>1400</v>
      </c>
      <c r="G101" s="7" t="s">
        <v>163</v>
      </c>
      <c r="H101" s="7">
        <v>250</v>
      </c>
      <c r="I101" s="10">
        <f t="shared" si="3"/>
        <v>5.6</v>
      </c>
      <c r="J101" s="6" t="s">
        <v>23</v>
      </c>
      <c r="K101" s="7" t="s">
        <v>651</v>
      </c>
      <c r="L101" s="7" t="s">
        <v>191</v>
      </c>
      <c r="M101" s="7" t="s">
        <v>652</v>
      </c>
      <c r="N101" s="7" t="s">
        <v>270</v>
      </c>
    </row>
    <row r="102" spans="1:14" ht="25.5" customHeight="1" x14ac:dyDescent="0.25">
      <c r="A102" s="4" t="s">
        <v>653</v>
      </c>
      <c r="B102" s="4" t="s">
        <v>654</v>
      </c>
      <c r="C102" s="3" t="s">
        <v>256</v>
      </c>
      <c r="D102" s="3" t="s">
        <v>655</v>
      </c>
      <c r="E102" s="4" t="s">
        <v>228</v>
      </c>
      <c r="F102" s="5">
        <v>50</v>
      </c>
      <c r="G102" s="4" t="s">
        <v>163</v>
      </c>
      <c r="H102" s="4">
        <v>1000</v>
      </c>
      <c r="I102" s="9">
        <f t="shared" si="3"/>
        <v>0.05</v>
      </c>
      <c r="J102" s="3" t="s">
        <v>656</v>
      </c>
      <c r="K102" s="4" t="s">
        <v>267</v>
      </c>
      <c r="L102" s="4" t="s">
        <v>657</v>
      </c>
      <c r="M102" s="4" t="s">
        <v>658</v>
      </c>
      <c r="N102" s="4" t="s">
        <v>216</v>
      </c>
    </row>
    <row r="103" spans="1:14" ht="51" customHeight="1" x14ac:dyDescent="0.25">
      <c r="A103" s="7" t="s">
        <v>659</v>
      </c>
      <c r="B103" s="7" t="s">
        <v>660</v>
      </c>
      <c r="C103" s="6" t="s">
        <v>437</v>
      </c>
      <c r="D103" s="6" t="s">
        <v>661</v>
      </c>
      <c r="E103" s="7" t="s">
        <v>228</v>
      </c>
      <c r="F103" s="8">
        <v>2</v>
      </c>
      <c r="G103" s="7" t="s">
        <v>163</v>
      </c>
      <c r="H103" s="7">
        <v>1000</v>
      </c>
      <c r="I103" s="10">
        <f t="shared" si="3"/>
        <v>2E-3</v>
      </c>
      <c r="J103" s="6" t="s">
        <v>662</v>
      </c>
      <c r="K103" s="7" t="s">
        <v>663</v>
      </c>
      <c r="L103" s="7" t="s">
        <v>72</v>
      </c>
      <c r="M103" s="7" t="s">
        <v>72</v>
      </c>
      <c r="N103" s="7" t="s">
        <v>168</v>
      </c>
    </row>
    <row r="104" spans="1:14" ht="15" customHeight="1" x14ac:dyDescent="0.25">
      <c r="A104" s="4" t="s">
        <v>664</v>
      </c>
      <c r="B104" s="4" t="s">
        <v>665</v>
      </c>
      <c r="C104" s="3" t="s">
        <v>264</v>
      </c>
      <c r="D104" s="3" t="s">
        <v>666</v>
      </c>
      <c r="E104" s="4" t="s">
        <v>173</v>
      </c>
      <c r="F104" s="5">
        <v>220</v>
      </c>
      <c r="G104" s="4" t="s">
        <v>174</v>
      </c>
      <c r="H104" s="4">
        <v>1000</v>
      </c>
      <c r="I104" s="9">
        <f t="shared" si="3"/>
        <v>0.22</v>
      </c>
      <c r="J104" s="3" t="s">
        <v>43</v>
      </c>
      <c r="K104" s="4" t="s">
        <v>206</v>
      </c>
      <c r="L104" s="4" t="s">
        <v>235</v>
      </c>
      <c r="M104" s="4" t="s">
        <v>208</v>
      </c>
      <c r="N104" s="4" t="s">
        <v>168</v>
      </c>
    </row>
    <row r="105" spans="1:14" ht="15" customHeight="1" x14ac:dyDescent="0.25">
      <c r="A105" s="7" t="s">
        <v>667</v>
      </c>
      <c r="B105" s="7" t="s">
        <v>668</v>
      </c>
      <c r="C105" s="6" t="s">
        <v>211</v>
      </c>
      <c r="D105" s="6" t="s">
        <v>669</v>
      </c>
      <c r="E105" s="7" t="s">
        <v>173</v>
      </c>
      <c r="F105" s="8">
        <v>750</v>
      </c>
      <c r="G105" s="7" t="s">
        <v>174</v>
      </c>
      <c r="H105" s="7">
        <v>1000</v>
      </c>
      <c r="I105" s="10">
        <f t="shared" si="3"/>
        <v>0.75</v>
      </c>
      <c r="J105" s="6" t="s">
        <v>33</v>
      </c>
      <c r="K105" s="7" t="s">
        <v>176</v>
      </c>
      <c r="L105" s="7" t="s">
        <v>399</v>
      </c>
      <c r="M105" s="7" t="s">
        <v>400</v>
      </c>
      <c r="N105" s="7" t="s">
        <v>168</v>
      </c>
    </row>
    <row r="106" spans="1:14" ht="25.5" customHeight="1" x14ac:dyDescent="0.25">
      <c r="A106" s="4" t="s">
        <v>670</v>
      </c>
      <c r="B106" s="4" t="s">
        <v>671</v>
      </c>
      <c r="C106" s="3" t="s">
        <v>171</v>
      </c>
      <c r="D106" s="3" t="s">
        <v>672</v>
      </c>
      <c r="E106" s="4" t="s">
        <v>173</v>
      </c>
      <c r="F106" s="5">
        <v>88</v>
      </c>
      <c r="G106" s="4" t="s">
        <v>174</v>
      </c>
      <c r="H106" s="4">
        <v>1000</v>
      </c>
      <c r="I106" s="9">
        <f t="shared" si="3"/>
        <v>8.7999999999999995E-2</v>
      </c>
      <c r="J106" s="3" t="s">
        <v>673</v>
      </c>
      <c r="K106" s="4" t="s">
        <v>176</v>
      </c>
      <c r="L106" s="4" t="s">
        <v>196</v>
      </c>
      <c r="M106" s="4" t="s">
        <v>241</v>
      </c>
      <c r="N106" s="4" t="s">
        <v>216</v>
      </c>
    </row>
    <row r="107" spans="1:14" ht="38.25" customHeight="1" x14ac:dyDescent="0.25">
      <c r="A107" s="7" t="s">
        <v>674</v>
      </c>
      <c r="B107" s="7" t="s">
        <v>675</v>
      </c>
      <c r="C107" s="6" t="s">
        <v>575</v>
      </c>
      <c r="D107" s="6" t="s">
        <v>676</v>
      </c>
      <c r="E107" s="7" t="s">
        <v>577</v>
      </c>
      <c r="F107" s="8">
        <v>17.579999999999998</v>
      </c>
      <c r="G107" s="7" t="s">
        <v>174</v>
      </c>
      <c r="H107" s="7">
        <v>30</v>
      </c>
      <c r="I107" s="10">
        <f t="shared" si="3"/>
        <v>0.58599999999999997</v>
      </c>
      <c r="J107" s="6" t="s">
        <v>677</v>
      </c>
      <c r="K107" s="7" t="s">
        <v>72</v>
      </c>
      <c r="L107" s="7" t="s">
        <v>72</v>
      </c>
      <c r="M107" s="7" t="s">
        <v>72</v>
      </c>
      <c r="N107" s="7" t="s">
        <v>580</v>
      </c>
    </row>
    <row r="108" spans="1:14" ht="25.5" customHeight="1" x14ac:dyDescent="0.25">
      <c r="A108" s="4" t="s">
        <v>678</v>
      </c>
      <c r="B108" s="4" t="s">
        <v>679</v>
      </c>
      <c r="C108" s="3" t="s">
        <v>256</v>
      </c>
      <c r="D108" s="3" t="s">
        <v>680</v>
      </c>
      <c r="E108" s="4" t="s">
        <v>228</v>
      </c>
      <c r="F108" s="5">
        <v>280</v>
      </c>
      <c r="G108" s="4" t="s">
        <v>163</v>
      </c>
      <c r="H108" s="4">
        <v>1000</v>
      </c>
      <c r="I108" s="9">
        <f t="shared" si="3"/>
        <v>0.28000000000000003</v>
      </c>
      <c r="J108" s="3" t="s">
        <v>681</v>
      </c>
      <c r="K108" s="4" t="s">
        <v>267</v>
      </c>
      <c r="L108" s="4" t="s">
        <v>308</v>
      </c>
      <c r="M108" s="4" t="s">
        <v>682</v>
      </c>
      <c r="N108" s="4" t="s">
        <v>216</v>
      </c>
    </row>
    <row r="109" spans="1:14" ht="15" customHeight="1" x14ac:dyDescent="0.25">
      <c r="A109" s="4" t="s">
        <v>683</v>
      </c>
      <c r="B109" s="4" t="s">
        <v>684</v>
      </c>
      <c r="C109" s="3" t="s">
        <v>219</v>
      </c>
      <c r="D109" s="3" t="s">
        <v>685</v>
      </c>
      <c r="E109" s="4" t="s">
        <v>312</v>
      </c>
      <c r="F109" s="5">
        <v>38</v>
      </c>
      <c r="G109" s="4" t="s">
        <v>313</v>
      </c>
      <c r="H109" s="4">
        <v>1</v>
      </c>
      <c r="I109" s="9">
        <f t="shared" si="3"/>
        <v>38</v>
      </c>
      <c r="J109" s="3" t="s">
        <v>52</v>
      </c>
      <c r="K109" s="4" t="s">
        <v>267</v>
      </c>
      <c r="L109" s="4" t="s">
        <v>314</v>
      </c>
      <c r="M109" s="4" t="s">
        <v>72</v>
      </c>
      <c r="N109" s="4" t="s">
        <v>270</v>
      </c>
    </row>
  </sheetData>
  <autoFilter ref="A1:N109" xr:uid="{00000000-0009-0000-0000-000004000000}"/>
  <pageMargins left="0.4" right="0.4" top="0.5" bottom="0.5" header="0.511811023622047" footer="0.5"/>
  <pageSetup fitToHeight="0" orientation="landscape" horizontalDpi="300" verticalDpi="300"/>
  <headerFooter>
    <oddFooter>&amp;CPage &amp;P of &amp;N&amp;RWings Theory -- Menu Ingredient Audit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7A5C"/>
    <pageSetUpPr fitToPage="1"/>
  </sheetPr>
  <dimension ref="A1:AI493"/>
  <sheetViews>
    <sheetView showGridLines="0" tabSelected="1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40" customWidth="1"/>
    <col min="2" max="2" width="26" customWidth="1"/>
    <col min="3" max="3" width="34" customWidth="1"/>
    <col min="4" max="4" width="14" customWidth="1"/>
    <col min="5" max="6" width="12" customWidth="1"/>
    <col min="7" max="7" width="18" customWidth="1"/>
    <col min="8" max="8" width="20" customWidth="1"/>
    <col min="9" max="9" width="18" customWidth="1"/>
    <col min="10" max="10" width="20" customWidth="1"/>
  </cols>
  <sheetData>
    <row r="1" spans="1:35" ht="43.5" customHeight="1" x14ac:dyDescent="0.25">
      <c r="K1" s="1" t="s">
        <v>686</v>
      </c>
      <c r="L1" s="11">
        <v>0.08</v>
      </c>
      <c r="M1" s="19" t="s">
        <v>687</v>
      </c>
      <c r="N1" s="20"/>
      <c r="O1" s="20"/>
      <c r="P1" s="20"/>
      <c r="Q1" s="20"/>
      <c r="R1" s="20"/>
      <c r="S1" s="1" t="s">
        <v>688</v>
      </c>
      <c r="T1" s="12">
        <v>5</v>
      </c>
      <c r="U1" s="19" t="s">
        <v>689</v>
      </c>
      <c r="V1" s="20"/>
      <c r="W1" s="20"/>
      <c r="X1" s="20"/>
      <c r="Y1" s="20"/>
      <c r="Z1" s="20"/>
      <c r="AA1" t="s">
        <v>690</v>
      </c>
      <c r="AB1">
        <v>30</v>
      </c>
      <c r="AC1" t="s">
        <v>691</v>
      </c>
      <c r="AD1" t="s">
        <v>692</v>
      </c>
      <c r="AE1">
        <v>20</v>
      </c>
      <c r="AF1" t="s">
        <v>691</v>
      </c>
      <c r="AG1" t="s">
        <v>693</v>
      </c>
      <c r="AH1">
        <v>15</v>
      </c>
      <c r="AI1" t="s">
        <v>691</v>
      </c>
    </row>
    <row r="3" spans="1:35" ht="33.75" customHeight="1" x14ac:dyDescent="0.25">
      <c r="A3" s="2" t="s">
        <v>0</v>
      </c>
      <c r="B3" s="2" t="s">
        <v>1</v>
      </c>
      <c r="C3" s="2" t="s">
        <v>694</v>
      </c>
      <c r="D3" s="2" t="s">
        <v>695</v>
      </c>
      <c r="E3" s="2" t="s">
        <v>696</v>
      </c>
      <c r="F3" s="2" t="s">
        <v>697</v>
      </c>
      <c r="G3" s="2" t="s">
        <v>152</v>
      </c>
      <c r="H3" s="2" t="s">
        <v>698</v>
      </c>
      <c r="I3" s="2" t="s">
        <v>699</v>
      </c>
      <c r="J3" s="2" t="s">
        <v>700</v>
      </c>
    </row>
    <row r="4" spans="1:35" ht="15" customHeight="1" x14ac:dyDescent="0.25">
      <c r="A4" s="13" t="s">
        <v>7</v>
      </c>
      <c r="B4" s="13" t="s">
        <v>8</v>
      </c>
      <c r="C4" s="13" t="s">
        <v>293</v>
      </c>
      <c r="D4" s="13">
        <v>3</v>
      </c>
      <c r="E4" s="13" t="s">
        <v>222</v>
      </c>
      <c r="F4" s="13">
        <f t="shared" ref="F4:F67" si="0">$D4*1</f>
        <v>3</v>
      </c>
      <c r="G4" s="14">
        <f>IFERROR(INDEX('4. Master Ingredient Inventory'!$I$2:$I$109,MATCH($C4,'4. Master Ingredient Inventory'!$B$2:$B$109,0)),0)</f>
        <v>13.77</v>
      </c>
      <c r="H4" s="15">
        <f t="shared" ref="H4:H67" si="1">$F4*$G4</f>
        <v>41.31</v>
      </c>
      <c r="I4" s="13">
        <f t="shared" ref="I4:I67" si="2">IF(AND($C4="Cooking Oil",$D4&gt;=100),$D4*$L$1,$F4)</f>
        <v>3</v>
      </c>
      <c r="J4" s="15">
        <f t="shared" ref="J4:J67" si="3">$I4*$G4</f>
        <v>41.31</v>
      </c>
    </row>
    <row r="5" spans="1:35" ht="15" customHeight="1" x14ac:dyDescent="0.25">
      <c r="A5" s="13" t="s">
        <v>7</v>
      </c>
      <c r="B5" s="13" t="s">
        <v>8</v>
      </c>
      <c r="C5" s="13" t="s">
        <v>170</v>
      </c>
      <c r="D5" s="13">
        <v>22.5</v>
      </c>
      <c r="E5" s="13" t="s">
        <v>174</v>
      </c>
      <c r="F5" s="13">
        <f t="shared" si="0"/>
        <v>22.5</v>
      </c>
      <c r="G5" s="14">
        <f>IFERROR(INDEX('4. Master Ingredient Inventory'!$I$2:$I$109,MATCH($C5,'4. Master Ingredient Inventory'!$B$2:$B$109,0)),0)</f>
        <v>5.8000000000000003E-2</v>
      </c>
      <c r="H5" s="15">
        <f t="shared" si="1"/>
        <v>1.3050000000000002</v>
      </c>
      <c r="I5" s="13">
        <f t="shared" si="2"/>
        <v>22.5</v>
      </c>
      <c r="J5" s="15">
        <f t="shared" si="3"/>
        <v>1.3050000000000002</v>
      </c>
    </row>
    <row r="6" spans="1:35" ht="15" customHeight="1" x14ac:dyDescent="0.25">
      <c r="A6" s="13" t="s">
        <v>7</v>
      </c>
      <c r="B6" s="13" t="s">
        <v>8</v>
      </c>
      <c r="C6" s="13" t="s">
        <v>333</v>
      </c>
      <c r="D6" s="13">
        <v>15</v>
      </c>
      <c r="E6" s="13" t="s">
        <v>174</v>
      </c>
      <c r="F6" s="13">
        <f t="shared" si="0"/>
        <v>15</v>
      </c>
      <c r="G6" s="14">
        <f>IFERROR(INDEX('4. Master Ingredient Inventory'!$I$2:$I$109,MATCH($C6,'4. Master Ingredient Inventory'!$B$2:$B$109,0)),0)</f>
        <v>7.4999999999999997E-2</v>
      </c>
      <c r="H6" s="15">
        <f t="shared" si="1"/>
        <v>1.125</v>
      </c>
      <c r="I6" s="13">
        <f t="shared" si="2"/>
        <v>15</v>
      </c>
      <c r="J6" s="15">
        <f t="shared" si="3"/>
        <v>1.125</v>
      </c>
    </row>
    <row r="7" spans="1:35" ht="15" customHeight="1" x14ac:dyDescent="0.25">
      <c r="A7" s="13" t="s">
        <v>7</v>
      </c>
      <c r="B7" s="13" t="s">
        <v>8</v>
      </c>
      <c r="C7" s="13" t="s">
        <v>188</v>
      </c>
      <c r="D7" s="13">
        <v>1</v>
      </c>
      <c r="E7" s="13" t="s">
        <v>174</v>
      </c>
      <c r="F7" s="13">
        <f t="shared" si="0"/>
        <v>1</v>
      </c>
      <c r="G7" s="14">
        <f>IFERROR(INDEX('4. Master Ingredient Inventory'!$I$2:$I$109,MATCH($C7,'4. Master Ingredient Inventory'!$B$2:$B$109,0)),0)</f>
        <v>0.14000000000000001</v>
      </c>
      <c r="H7" s="15">
        <f t="shared" si="1"/>
        <v>0.14000000000000001</v>
      </c>
      <c r="I7" s="13">
        <f t="shared" si="2"/>
        <v>1</v>
      </c>
      <c r="J7" s="15">
        <f t="shared" si="3"/>
        <v>0.14000000000000001</v>
      </c>
    </row>
    <row r="8" spans="1:35" ht="15" customHeight="1" x14ac:dyDescent="0.25">
      <c r="A8" s="13" t="s">
        <v>7</v>
      </c>
      <c r="B8" s="13" t="s">
        <v>8</v>
      </c>
      <c r="C8" s="13" t="s">
        <v>598</v>
      </c>
      <c r="D8" s="13">
        <v>1</v>
      </c>
      <c r="E8" s="13" t="s">
        <v>174</v>
      </c>
      <c r="F8" s="13">
        <f t="shared" si="0"/>
        <v>1</v>
      </c>
      <c r="G8" s="14">
        <f>IFERROR(INDEX('4. Master Ingredient Inventory'!$I$2:$I$109,MATCH($C8,'4. Master Ingredient Inventory'!$B$2:$B$109,0)),0)</f>
        <v>0.03</v>
      </c>
      <c r="H8" s="15">
        <f t="shared" si="1"/>
        <v>0.03</v>
      </c>
      <c r="I8" s="13">
        <f t="shared" si="2"/>
        <v>1</v>
      </c>
      <c r="J8" s="15">
        <f t="shared" si="3"/>
        <v>0.03</v>
      </c>
    </row>
    <row r="9" spans="1:35" ht="15" customHeight="1" x14ac:dyDescent="0.25">
      <c r="A9" s="13" t="s">
        <v>7</v>
      </c>
      <c r="B9" s="13" t="s">
        <v>8</v>
      </c>
      <c r="C9" s="13" t="s">
        <v>210</v>
      </c>
      <c r="D9" s="13">
        <v>0.5</v>
      </c>
      <c r="E9" s="13" t="s">
        <v>174</v>
      </c>
      <c r="F9" s="13">
        <f t="shared" si="0"/>
        <v>0.5</v>
      </c>
      <c r="G9" s="14">
        <f>IFERROR(INDEX('4. Master Ingredient Inventory'!$I$2:$I$109,MATCH($C9,'4. Master Ingredient Inventory'!$B$2:$B$109,0)),0)</f>
        <v>0.65</v>
      </c>
      <c r="H9" s="15">
        <f t="shared" si="1"/>
        <v>0.32500000000000001</v>
      </c>
      <c r="I9" s="13">
        <f t="shared" si="2"/>
        <v>0.5</v>
      </c>
      <c r="J9" s="15">
        <f t="shared" si="3"/>
        <v>0.32500000000000001</v>
      </c>
    </row>
    <row r="10" spans="1:35" ht="15" customHeight="1" x14ac:dyDescent="0.25">
      <c r="A10" s="13" t="s">
        <v>7</v>
      </c>
      <c r="B10" s="13" t="s">
        <v>8</v>
      </c>
      <c r="C10" s="13" t="s">
        <v>396</v>
      </c>
      <c r="D10" s="13">
        <v>0.5</v>
      </c>
      <c r="E10" s="13" t="s">
        <v>174</v>
      </c>
      <c r="F10" s="13">
        <f t="shared" si="0"/>
        <v>0.5</v>
      </c>
      <c r="G10" s="14">
        <f>IFERROR(INDEX('4. Master Ingredient Inventory'!$I$2:$I$109,MATCH($C10,'4. Master Ingredient Inventory'!$B$2:$B$109,0)),0)</f>
        <v>0.28000000000000003</v>
      </c>
      <c r="H10" s="15">
        <f t="shared" si="1"/>
        <v>0.14000000000000001</v>
      </c>
      <c r="I10" s="13">
        <f t="shared" si="2"/>
        <v>0.5</v>
      </c>
      <c r="J10" s="15">
        <f t="shared" si="3"/>
        <v>0.14000000000000001</v>
      </c>
    </row>
    <row r="11" spans="1:35" ht="15" customHeight="1" x14ac:dyDescent="0.25">
      <c r="A11" s="13" t="s">
        <v>7</v>
      </c>
      <c r="B11" s="13" t="s">
        <v>8</v>
      </c>
      <c r="C11" s="13" t="s">
        <v>323</v>
      </c>
      <c r="D11" s="13">
        <f>3*$T$1</f>
        <v>15</v>
      </c>
      <c r="E11" s="13" t="s">
        <v>163</v>
      </c>
      <c r="F11" s="13">
        <f t="shared" si="0"/>
        <v>15</v>
      </c>
      <c r="G11" s="14">
        <f>IFERROR(INDEX('4. Master Ingredient Inventory'!$I$2:$I$109,MATCH($C11,'4. Master Ingredient Inventory'!$B$2:$B$109,0)),0)</f>
        <v>0.09</v>
      </c>
      <c r="H11" s="15">
        <f t="shared" si="1"/>
        <v>1.3499999999999999</v>
      </c>
      <c r="I11" s="13">
        <f t="shared" si="2"/>
        <v>15</v>
      </c>
      <c r="J11" s="15">
        <f t="shared" si="3"/>
        <v>1.3499999999999999</v>
      </c>
    </row>
    <row r="12" spans="1:35" ht="15" customHeight="1" x14ac:dyDescent="0.25">
      <c r="A12" s="13" t="s">
        <v>7</v>
      </c>
      <c r="B12" s="13" t="s">
        <v>8</v>
      </c>
      <c r="C12" s="13" t="s">
        <v>428</v>
      </c>
      <c r="D12" s="13">
        <v>22.5</v>
      </c>
      <c r="E12" s="13" t="s">
        <v>163</v>
      </c>
      <c r="F12" s="13">
        <f t="shared" si="0"/>
        <v>22.5</v>
      </c>
      <c r="G12" s="14">
        <f>IFERROR(INDEX('4. Master Ingredient Inventory'!$I$2:$I$109,MATCH($C12,'4. Master Ingredient Inventory'!$B$2:$B$109,0)),0)</f>
        <v>0.25</v>
      </c>
      <c r="H12" s="15">
        <f t="shared" si="1"/>
        <v>5.625</v>
      </c>
      <c r="I12" s="13">
        <f t="shared" si="2"/>
        <v>22.5</v>
      </c>
      <c r="J12" s="15">
        <f t="shared" si="3"/>
        <v>5.625</v>
      </c>
    </row>
    <row r="13" spans="1:35" ht="15" customHeight="1" x14ac:dyDescent="0.25">
      <c r="A13" s="13" t="s">
        <v>7</v>
      </c>
      <c r="B13" s="13" t="s">
        <v>8</v>
      </c>
      <c r="C13" s="13" t="s">
        <v>243</v>
      </c>
      <c r="D13" s="13">
        <v>9</v>
      </c>
      <c r="E13" s="13" t="s">
        <v>174</v>
      </c>
      <c r="F13" s="13">
        <f t="shared" si="0"/>
        <v>9</v>
      </c>
      <c r="G13" s="14">
        <f>IFERROR(INDEX('4. Master Ingredient Inventory'!$I$2:$I$109,MATCH($C13,'4. Master Ingredient Inventory'!$B$2:$B$109,0)),0)</f>
        <v>0.48</v>
      </c>
      <c r="H13" s="15">
        <f t="shared" si="1"/>
        <v>4.32</v>
      </c>
      <c r="I13" s="13">
        <f t="shared" si="2"/>
        <v>9</v>
      </c>
      <c r="J13" s="15">
        <f t="shared" si="3"/>
        <v>4.32</v>
      </c>
    </row>
    <row r="14" spans="1:35" ht="15" customHeight="1" x14ac:dyDescent="0.25">
      <c r="A14" s="13" t="s">
        <v>7</v>
      </c>
      <c r="B14" s="13" t="s">
        <v>8</v>
      </c>
      <c r="C14" s="13" t="s">
        <v>679</v>
      </c>
      <c r="D14" s="13">
        <v>1.5</v>
      </c>
      <c r="E14" s="13" t="s">
        <v>163</v>
      </c>
      <c r="F14" s="13">
        <f t="shared" si="0"/>
        <v>1.5</v>
      </c>
      <c r="G14" s="14">
        <f>IFERROR(INDEX('4. Master Ingredient Inventory'!$I$2:$I$109,MATCH($C14,'4. Master Ingredient Inventory'!$B$2:$B$109,0)),0)</f>
        <v>0.28000000000000003</v>
      </c>
      <c r="H14" s="15">
        <f t="shared" si="1"/>
        <v>0.42000000000000004</v>
      </c>
      <c r="I14" s="13">
        <f t="shared" si="2"/>
        <v>1.5</v>
      </c>
      <c r="J14" s="15">
        <f t="shared" si="3"/>
        <v>0.42000000000000004</v>
      </c>
    </row>
    <row r="15" spans="1:35" ht="15" customHeight="1" x14ac:dyDescent="0.25">
      <c r="A15" s="13" t="s">
        <v>9</v>
      </c>
      <c r="B15" s="13" t="s">
        <v>8</v>
      </c>
      <c r="C15" s="13" t="s">
        <v>293</v>
      </c>
      <c r="D15" s="13">
        <v>3</v>
      </c>
      <c r="E15" s="13" t="s">
        <v>222</v>
      </c>
      <c r="F15" s="13">
        <f t="shared" si="0"/>
        <v>3</v>
      </c>
      <c r="G15" s="14">
        <f>IFERROR(INDEX('4. Master Ingredient Inventory'!$I$2:$I$109,MATCH($C15,'4. Master Ingredient Inventory'!$B$2:$B$109,0)),0)</f>
        <v>13.77</v>
      </c>
      <c r="H15" s="15">
        <f t="shared" si="1"/>
        <v>41.31</v>
      </c>
      <c r="I15" s="13">
        <f t="shared" si="2"/>
        <v>3</v>
      </c>
      <c r="J15" s="15">
        <f t="shared" si="3"/>
        <v>41.31</v>
      </c>
    </row>
    <row r="16" spans="1:35" ht="15" customHeight="1" x14ac:dyDescent="0.25">
      <c r="A16" s="13" t="s">
        <v>9</v>
      </c>
      <c r="B16" s="13" t="s">
        <v>8</v>
      </c>
      <c r="C16" s="13" t="s">
        <v>170</v>
      </c>
      <c r="D16" s="13">
        <v>22.5</v>
      </c>
      <c r="E16" s="13" t="s">
        <v>174</v>
      </c>
      <c r="F16" s="13">
        <f t="shared" si="0"/>
        <v>22.5</v>
      </c>
      <c r="G16" s="14">
        <f>IFERROR(INDEX('4. Master Ingredient Inventory'!$I$2:$I$109,MATCH($C16,'4. Master Ingredient Inventory'!$B$2:$B$109,0)),0)</f>
        <v>5.8000000000000003E-2</v>
      </c>
      <c r="H16" s="15">
        <f t="shared" si="1"/>
        <v>1.3050000000000002</v>
      </c>
      <c r="I16" s="13">
        <f t="shared" si="2"/>
        <v>22.5</v>
      </c>
      <c r="J16" s="15">
        <f t="shared" si="3"/>
        <v>1.3050000000000002</v>
      </c>
    </row>
    <row r="17" spans="1:10" ht="15" customHeight="1" x14ac:dyDescent="0.25">
      <c r="A17" s="13" t="s">
        <v>9</v>
      </c>
      <c r="B17" s="13" t="s">
        <v>8</v>
      </c>
      <c r="C17" s="13" t="s">
        <v>333</v>
      </c>
      <c r="D17" s="13">
        <v>15</v>
      </c>
      <c r="E17" s="13" t="s">
        <v>174</v>
      </c>
      <c r="F17" s="13">
        <f t="shared" si="0"/>
        <v>15</v>
      </c>
      <c r="G17" s="14">
        <f>IFERROR(INDEX('4. Master Ingredient Inventory'!$I$2:$I$109,MATCH($C17,'4. Master Ingredient Inventory'!$B$2:$B$109,0)),0)</f>
        <v>7.4999999999999997E-2</v>
      </c>
      <c r="H17" s="15">
        <f t="shared" si="1"/>
        <v>1.125</v>
      </c>
      <c r="I17" s="13">
        <f t="shared" si="2"/>
        <v>15</v>
      </c>
      <c r="J17" s="15">
        <f t="shared" si="3"/>
        <v>1.125</v>
      </c>
    </row>
    <row r="18" spans="1:10" ht="15" customHeight="1" x14ac:dyDescent="0.25">
      <c r="A18" s="13" t="s">
        <v>9</v>
      </c>
      <c r="B18" s="13" t="s">
        <v>8</v>
      </c>
      <c r="C18" s="13" t="s">
        <v>188</v>
      </c>
      <c r="D18" s="13">
        <v>1</v>
      </c>
      <c r="E18" s="13" t="s">
        <v>174</v>
      </c>
      <c r="F18" s="13">
        <f t="shared" si="0"/>
        <v>1</v>
      </c>
      <c r="G18" s="14">
        <f>IFERROR(INDEX('4. Master Ingredient Inventory'!$I$2:$I$109,MATCH($C18,'4. Master Ingredient Inventory'!$B$2:$B$109,0)),0)</f>
        <v>0.14000000000000001</v>
      </c>
      <c r="H18" s="15">
        <f t="shared" si="1"/>
        <v>0.14000000000000001</v>
      </c>
      <c r="I18" s="13">
        <f t="shared" si="2"/>
        <v>1</v>
      </c>
      <c r="J18" s="15">
        <f t="shared" si="3"/>
        <v>0.14000000000000001</v>
      </c>
    </row>
    <row r="19" spans="1:10" ht="15" customHeight="1" x14ac:dyDescent="0.25">
      <c r="A19" s="13" t="s">
        <v>9</v>
      </c>
      <c r="B19" s="13" t="s">
        <v>8</v>
      </c>
      <c r="C19" s="13" t="s">
        <v>598</v>
      </c>
      <c r="D19" s="13">
        <v>1</v>
      </c>
      <c r="E19" s="13" t="s">
        <v>174</v>
      </c>
      <c r="F19" s="13">
        <f t="shared" si="0"/>
        <v>1</v>
      </c>
      <c r="G19" s="14">
        <f>IFERROR(INDEX('4. Master Ingredient Inventory'!$I$2:$I$109,MATCH($C19,'4. Master Ingredient Inventory'!$B$2:$B$109,0)),0)</f>
        <v>0.03</v>
      </c>
      <c r="H19" s="15">
        <f t="shared" si="1"/>
        <v>0.03</v>
      </c>
      <c r="I19" s="13">
        <f t="shared" si="2"/>
        <v>1</v>
      </c>
      <c r="J19" s="15">
        <f t="shared" si="3"/>
        <v>0.03</v>
      </c>
    </row>
    <row r="20" spans="1:10" ht="15" customHeight="1" x14ac:dyDescent="0.25">
      <c r="A20" s="13" t="s">
        <v>9</v>
      </c>
      <c r="B20" s="13" t="s">
        <v>8</v>
      </c>
      <c r="C20" s="13" t="s">
        <v>210</v>
      </c>
      <c r="D20" s="13">
        <v>0.5</v>
      </c>
      <c r="E20" s="13" t="s">
        <v>174</v>
      </c>
      <c r="F20" s="13">
        <f t="shared" si="0"/>
        <v>0.5</v>
      </c>
      <c r="G20" s="14">
        <f>IFERROR(INDEX('4. Master Ingredient Inventory'!$I$2:$I$109,MATCH($C20,'4. Master Ingredient Inventory'!$B$2:$B$109,0)),0)</f>
        <v>0.65</v>
      </c>
      <c r="H20" s="15">
        <f t="shared" si="1"/>
        <v>0.32500000000000001</v>
      </c>
      <c r="I20" s="13">
        <f t="shared" si="2"/>
        <v>0.5</v>
      </c>
      <c r="J20" s="15">
        <f t="shared" si="3"/>
        <v>0.32500000000000001</v>
      </c>
    </row>
    <row r="21" spans="1:10" ht="15" customHeight="1" x14ac:dyDescent="0.25">
      <c r="A21" s="13" t="s">
        <v>9</v>
      </c>
      <c r="B21" s="13" t="s">
        <v>8</v>
      </c>
      <c r="C21" s="13" t="s">
        <v>396</v>
      </c>
      <c r="D21" s="13">
        <v>0.5</v>
      </c>
      <c r="E21" s="13" t="s">
        <v>174</v>
      </c>
      <c r="F21" s="13">
        <f t="shared" si="0"/>
        <v>0.5</v>
      </c>
      <c r="G21" s="14">
        <f>IFERROR(INDEX('4. Master Ingredient Inventory'!$I$2:$I$109,MATCH($C21,'4. Master Ingredient Inventory'!$B$2:$B$109,0)),0)</f>
        <v>0.28000000000000003</v>
      </c>
      <c r="H21" s="15">
        <f t="shared" si="1"/>
        <v>0.14000000000000001</v>
      </c>
      <c r="I21" s="13">
        <f t="shared" si="2"/>
        <v>0.5</v>
      </c>
      <c r="J21" s="15">
        <f t="shared" si="3"/>
        <v>0.14000000000000001</v>
      </c>
    </row>
    <row r="22" spans="1:10" ht="15" customHeight="1" x14ac:dyDescent="0.25">
      <c r="A22" s="13" t="s">
        <v>9</v>
      </c>
      <c r="B22" s="13" t="s">
        <v>8</v>
      </c>
      <c r="C22" s="13" t="s">
        <v>323</v>
      </c>
      <c r="D22" s="13">
        <f>3*$T$1</f>
        <v>15</v>
      </c>
      <c r="E22" s="13" t="s">
        <v>163</v>
      </c>
      <c r="F22" s="13">
        <f t="shared" si="0"/>
        <v>15</v>
      </c>
      <c r="G22" s="14">
        <f>IFERROR(INDEX('4. Master Ingredient Inventory'!$I$2:$I$109,MATCH($C22,'4. Master Ingredient Inventory'!$B$2:$B$109,0)),0)</f>
        <v>0.09</v>
      </c>
      <c r="H22" s="15">
        <f t="shared" si="1"/>
        <v>1.3499999999999999</v>
      </c>
      <c r="I22" s="13">
        <f t="shared" si="2"/>
        <v>15</v>
      </c>
      <c r="J22" s="15">
        <f t="shared" si="3"/>
        <v>1.3499999999999999</v>
      </c>
    </row>
    <row r="23" spans="1:10" ht="15" customHeight="1" x14ac:dyDescent="0.25">
      <c r="A23" s="13" t="s">
        <v>9</v>
      </c>
      <c r="B23" s="13" t="s">
        <v>8</v>
      </c>
      <c r="C23" s="13" t="s">
        <v>478</v>
      </c>
      <c r="D23" s="13">
        <v>27.5</v>
      </c>
      <c r="E23" s="13" t="s">
        <v>163</v>
      </c>
      <c r="F23" s="13">
        <f t="shared" si="0"/>
        <v>27.5</v>
      </c>
      <c r="G23" s="14">
        <f>IFERROR(INDEX('4. Master Ingredient Inventory'!$I$2:$I$109,MATCH($C23,'4. Master Ingredient Inventory'!$B$2:$B$109,0)),0)</f>
        <v>0.16</v>
      </c>
      <c r="H23" s="15">
        <f t="shared" si="1"/>
        <v>4.4000000000000004</v>
      </c>
      <c r="I23" s="13">
        <f t="shared" si="2"/>
        <v>27.5</v>
      </c>
      <c r="J23" s="15">
        <f t="shared" si="3"/>
        <v>4.4000000000000004</v>
      </c>
    </row>
    <row r="24" spans="1:10" ht="15" customHeight="1" x14ac:dyDescent="0.25">
      <c r="A24" s="13" t="s">
        <v>9</v>
      </c>
      <c r="B24" s="13" t="s">
        <v>8</v>
      </c>
      <c r="C24" s="13" t="s">
        <v>417</v>
      </c>
      <c r="D24" s="13">
        <v>5</v>
      </c>
      <c r="E24" s="13" t="s">
        <v>163</v>
      </c>
      <c r="F24" s="13">
        <f t="shared" si="0"/>
        <v>5</v>
      </c>
      <c r="G24" s="14">
        <f>IFERROR(INDEX('4. Master Ingredient Inventory'!$I$2:$I$109,MATCH($C24,'4. Master Ingredient Inventory'!$B$2:$B$109,0)),0)</f>
        <v>0.45</v>
      </c>
      <c r="H24" s="15">
        <f t="shared" si="1"/>
        <v>2.25</v>
      </c>
      <c r="I24" s="13">
        <f t="shared" si="2"/>
        <v>5</v>
      </c>
      <c r="J24" s="15">
        <f t="shared" si="3"/>
        <v>2.25</v>
      </c>
    </row>
    <row r="25" spans="1:10" ht="15" customHeight="1" x14ac:dyDescent="0.25">
      <c r="A25" s="13" t="s">
        <v>9</v>
      </c>
      <c r="B25" s="13" t="s">
        <v>8</v>
      </c>
      <c r="C25" s="13" t="s">
        <v>422</v>
      </c>
      <c r="D25" s="13">
        <v>4</v>
      </c>
      <c r="E25" s="13" t="s">
        <v>174</v>
      </c>
      <c r="F25" s="13">
        <f t="shared" si="0"/>
        <v>4</v>
      </c>
      <c r="G25" s="14">
        <f>IFERROR(INDEX('4. Master Ingredient Inventory'!$I$2:$I$109,MATCH($C25,'4. Master Ingredient Inventory'!$B$2:$B$109,0)),0)</f>
        <v>0.32</v>
      </c>
      <c r="H25" s="15">
        <f t="shared" si="1"/>
        <v>1.28</v>
      </c>
      <c r="I25" s="13">
        <f t="shared" si="2"/>
        <v>4</v>
      </c>
      <c r="J25" s="15">
        <f t="shared" si="3"/>
        <v>1.28</v>
      </c>
    </row>
    <row r="26" spans="1:10" ht="15" customHeight="1" x14ac:dyDescent="0.25">
      <c r="A26" s="13" t="s">
        <v>9</v>
      </c>
      <c r="B26" s="13" t="s">
        <v>8</v>
      </c>
      <c r="C26" s="13" t="s">
        <v>243</v>
      </c>
      <c r="D26" s="13">
        <v>4</v>
      </c>
      <c r="E26" s="13" t="s">
        <v>174</v>
      </c>
      <c r="F26" s="13">
        <f t="shared" si="0"/>
        <v>4</v>
      </c>
      <c r="G26" s="14">
        <f>IFERROR(INDEX('4. Master Ingredient Inventory'!$I$2:$I$109,MATCH($C26,'4. Master Ingredient Inventory'!$B$2:$B$109,0)),0)</f>
        <v>0.48</v>
      </c>
      <c r="H26" s="15">
        <f t="shared" si="1"/>
        <v>1.92</v>
      </c>
      <c r="I26" s="13">
        <f t="shared" si="2"/>
        <v>4</v>
      </c>
      <c r="J26" s="15">
        <f t="shared" si="3"/>
        <v>1.92</v>
      </c>
    </row>
    <row r="27" spans="1:10" ht="15" customHeight="1" x14ac:dyDescent="0.25">
      <c r="A27" s="13" t="s">
        <v>9</v>
      </c>
      <c r="B27" s="13" t="s">
        <v>8</v>
      </c>
      <c r="C27" s="13" t="s">
        <v>654</v>
      </c>
      <c r="D27" s="13">
        <v>1.5</v>
      </c>
      <c r="E27" s="13" t="s">
        <v>163</v>
      </c>
      <c r="F27" s="13">
        <f t="shared" si="0"/>
        <v>1.5</v>
      </c>
      <c r="G27" s="14">
        <f>IFERROR(INDEX('4. Master Ingredient Inventory'!$I$2:$I$109,MATCH($C27,'4. Master Ingredient Inventory'!$B$2:$B$109,0)),0)</f>
        <v>0.05</v>
      </c>
      <c r="H27" s="15">
        <f t="shared" si="1"/>
        <v>7.5000000000000011E-2</v>
      </c>
      <c r="I27" s="13">
        <f t="shared" si="2"/>
        <v>1.5</v>
      </c>
      <c r="J27" s="15">
        <f t="shared" si="3"/>
        <v>7.5000000000000011E-2</v>
      </c>
    </row>
    <row r="28" spans="1:10" ht="15" customHeight="1" x14ac:dyDescent="0.25">
      <c r="A28" s="13" t="s">
        <v>10</v>
      </c>
      <c r="B28" s="13" t="s">
        <v>8</v>
      </c>
      <c r="C28" s="13" t="s">
        <v>293</v>
      </c>
      <c r="D28" s="13">
        <v>3</v>
      </c>
      <c r="E28" s="13" t="s">
        <v>222</v>
      </c>
      <c r="F28" s="13">
        <f t="shared" si="0"/>
        <v>3</v>
      </c>
      <c r="G28" s="14">
        <f>IFERROR(INDEX('4. Master Ingredient Inventory'!$I$2:$I$109,MATCH($C28,'4. Master Ingredient Inventory'!$B$2:$B$109,0)),0)</f>
        <v>13.77</v>
      </c>
      <c r="H28" s="15">
        <f t="shared" si="1"/>
        <v>41.31</v>
      </c>
      <c r="I28" s="13">
        <f t="shared" si="2"/>
        <v>3</v>
      </c>
      <c r="J28" s="15">
        <f t="shared" si="3"/>
        <v>41.31</v>
      </c>
    </row>
    <row r="29" spans="1:10" ht="15" customHeight="1" x14ac:dyDescent="0.25">
      <c r="A29" s="13" t="s">
        <v>10</v>
      </c>
      <c r="B29" s="13" t="s">
        <v>8</v>
      </c>
      <c r="C29" s="13" t="s">
        <v>170</v>
      </c>
      <c r="D29" s="13">
        <v>22.5</v>
      </c>
      <c r="E29" s="13" t="s">
        <v>174</v>
      </c>
      <c r="F29" s="13">
        <f t="shared" si="0"/>
        <v>22.5</v>
      </c>
      <c r="G29" s="14">
        <f>IFERROR(INDEX('4. Master Ingredient Inventory'!$I$2:$I$109,MATCH($C29,'4. Master Ingredient Inventory'!$B$2:$B$109,0)),0)</f>
        <v>5.8000000000000003E-2</v>
      </c>
      <c r="H29" s="15">
        <f t="shared" si="1"/>
        <v>1.3050000000000002</v>
      </c>
      <c r="I29" s="13">
        <f t="shared" si="2"/>
        <v>22.5</v>
      </c>
      <c r="J29" s="15">
        <f t="shared" si="3"/>
        <v>1.3050000000000002</v>
      </c>
    </row>
    <row r="30" spans="1:10" ht="15" customHeight="1" x14ac:dyDescent="0.25">
      <c r="A30" s="13" t="s">
        <v>10</v>
      </c>
      <c r="B30" s="13" t="s">
        <v>8</v>
      </c>
      <c r="C30" s="13" t="s">
        <v>333</v>
      </c>
      <c r="D30" s="13">
        <v>15</v>
      </c>
      <c r="E30" s="13" t="s">
        <v>174</v>
      </c>
      <c r="F30" s="13">
        <f t="shared" si="0"/>
        <v>15</v>
      </c>
      <c r="G30" s="14">
        <f>IFERROR(INDEX('4. Master Ingredient Inventory'!$I$2:$I$109,MATCH($C30,'4. Master Ingredient Inventory'!$B$2:$B$109,0)),0)</f>
        <v>7.4999999999999997E-2</v>
      </c>
      <c r="H30" s="15">
        <f t="shared" si="1"/>
        <v>1.125</v>
      </c>
      <c r="I30" s="13">
        <f t="shared" si="2"/>
        <v>15</v>
      </c>
      <c r="J30" s="15">
        <f t="shared" si="3"/>
        <v>1.125</v>
      </c>
    </row>
    <row r="31" spans="1:10" ht="15" customHeight="1" x14ac:dyDescent="0.25">
      <c r="A31" s="13" t="s">
        <v>10</v>
      </c>
      <c r="B31" s="13" t="s">
        <v>8</v>
      </c>
      <c r="C31" s="13" t="s">
        <v>188</v>
      </c>
      <c r="D31" s="13">
        <v>1</v>
      </c>
      <c r="E31" s="13" t="s">
        <v>174</v>
      </c>
      <c r="F31" s="13">
        <f t="shared" si="0"/>
        <v>1</v>
      </c>
      <c r="G31" s="14">
        <f>IFERROR(INDEX('4. Master Ingredient Inventory'!$I$2:$I$109,MATCH($C31,'4. Master Ingredient Inventory'!$B$2:$B$109,0)),0)</f>
        <v>0.14000000000000001</v>
      </c>
      <c r="H31" s="15">
        <f t="shared" si="1"/>
        <v>0.14000000000000001</v>
      </c>
      <c r="I31" s="13">
        <f t="shared" si="2"/>
        <v>1</v>
      </c>
      <c r="J31" s="15">
        <f t="shared" si="3"/>
        <v>0.14000000000000001</v>
      </c>
    </row>
    <row r="32" spans="1:10" ht="15" customHeight="1" x14ac:dyDescent="0.25">
      <c r="A32" s="13" t="s">
        <v>10</v>
      </c>
      <c r="B32" s="13" t="s">
        <v>8</v>
      </c>
      <c r="C32" s="13" t="s">
        <v>598</v>
      </c>
      <c r="D32" s="13">
        <v>1</v>
      </c>
      <c r="E32" s="13" t="s">
        <v>174</v>
      </c>
      <c r="F32" s="13">
        <f t="shared" si="0"/>
        <v>1</v>
      </c>
      <c r="G32" s="14">
        <f>IFERROR(INDEX('4. Master Ingredient Inventory'!$I$2:$I$109,MATCH($C32,'4. Master Ingredient Inventory'!$B$2:$B$109,0)),0)</f>
        <v>0.03</v>
      </c>
      <c r="H32" s="15">
        <f t="shared" si="1"/>
        <v>0.03</v>
      </c>
      <c r="I32" s="13">
        <f t="shared" si="2"/>
        <v>1</v>
      </c>
      <c r="J32" s="15">
        <f t="shared" si="3"/>
        <v>0.03</v>
      </c>
    </row>
    <row r="33" spans="1:10" ht="15" customHeight="1" x14ac:dyDescent="0.25">
      <c r="A33" s="13" t="s">
        <v>10</v>
      </c>
      <c r="B33" s="13" t="s">
        <v>8</v>
      </c>
      <c r="C33" s="13" t="s">
        <v>210</v>
      </c>
      <c r="D33" s="13">
        <v>0.5</v>
      </c>
      <c r="E33" s="13" t="s">
        <v>174</v>
      </c>
      <c r="F33" s="13">
        <f t="shared" si="0"/>
        <v>0.5</v>
      </c>
      <c r="G33" s="14">
        <f>IFERROR(INDEX('4. Master Ingredient Inventory'!$I$2:$I$109,MATCH($C33,'4. Master Ingredient Inventory'!$B$2:$B$109,0)),0)</f>
        <v>0.65</v>
      </c>
      <c r="H33" s="15">
        <f t="shared" si="1"/>
        <v>0.32500000000000001</v>
      </c>
      <c r="I33" s="13">
        <f t="shared" si="2"/>
        <v>0.5</v>
      </c>
      <c r="J33" s="15">
        <f t="shared" si="3"/>
        <v>0.32500000000000001</v>
      </c>
    </row>
    <row r="34" spans="1:10" ht="15" customHeight="1" x14ac:dyDescent="0.25">
      <c r="A34" s="13" t="s">
        <v>10</v>
      </c>
      <c r="B34" s="13" t="s">
        <v>8</v>
      </c>
      <c r="C34" s="13" t="s">
        <v>396</v>
      </c>
      <c r="D34" s="13">
        <v>0.5</v>
      </c>
      <c r="E34" s="13" t="s">
        <v>174</v>
      </c>
      <c r="F34" s="13">
        <f t="shared" si="0"/>
        <v>0.5</v>
      </c>
      <c r="G34" s="14">
        <f>IFERROR(INDEX('4. Master Ingredient Inventory'!$I$2:$I$109,MATCH($C34,'4. Master Ingredient Inventory'!$B$2:$B$109,0)),0)</f>
        <v>0.28000000000000003</v>
      </c>
      <c r="H34" s="15">
        <f t="shared" si="1"/>
        <v>0.14000000000000001</v>
      </c>
      <c r="I34" s="13">
        <f t="shared" si="2"/>
        <v>0.5</v>
      </c>
      <c r="J34" s="15">
        <f t="shared" si="3"/>
        <v>0.14000000000000001</v>
      </c>
    </row>
    <row r="35" spans="1:10" ht="15" customHeight="1" x14ac:dyDescent="0.25">
      <c r="A35" s="13" t="s">
        <v>10</v>
      </c>
      <c r="B35" s="13" t="s">
        <v>8</v>
      </c>
      <c r="C35" s="13" t="s">
        <v>323</v>
      </c>
      <c r="D35" s="13">
        <f>3*$T$1</f>
        <v>15</v>
      </c>
      <c r="E35" s="13" t="s">
        <v>163</v>
      </c>
      <c r="F35" s="13">
        <f t="shared" si="0"/>
        <v>15</v>
      </c>
      <c r="G35" s="14">
        <f>IFERROR(INDEX('4. Master Ingredient Inventory'!$I$2:$I$109,MATCH($C35,'4. Master Ingredient Inventory'!$B$2:$B$109,0)),0)</f>
        <v>0.09</v>
      </c>
      <c r="H35" s="15">
        <f t="shared" si="1"/>
        <v>1.3499999999999999</v>
      </c>
      <c r="I35" s="13">
        <f t="shared" si="2"/>
        <v>15</v>
      </c>
      <c r="J35" s="15">
        <f t="shared" si="3"/>
        <v>1.3499999999999999</v>
      </c>
    </row>
    <row r="36" spans="1:10" ht="15" customHeight="1" x14ac:dyDescent="0.25">
      <c r="A36" s="13" t="s">
        <v>10</v>
      </c>
      <c r="B36" s="13" t="s">
        <v>8</v>
      </c>
      <c r="C36" s="13" t="s">
        <v>603</v>
      </c>
      <c r="D36" s="13">
        <v>1</v>
      </c>
      <c r="E36" s="13" t="s">
        <v>222</v>
      </c>
      <c r="F36" s="13">
        <f t="shared" si="0"/>
        <v>1</v>
      </c>
      <c r="G36" s="14">
        <f>IFERROR(INDEX('4. Master Ingredient Inventory'!$I$2:$I$109,MATCH($C36,'4. Master Ingredient Inventory'!$B$2:$B$109,0)),0)</f>
        <v>10</v>
      </c>
      <c r="H36" s="15">
        <f t="shared" si="1"/>
        <v>10</v>
      </c>
      <c r="I36" s="13">
        <f t="shared" si="2"/>
        <v>1</v>
      </c>
      <c r="J36" s="15">
        <f t="shared" si="3"/>
        <v>10</v>
      </c>
    </row>
    <row r="37" spans="1:10" ht="15" customHeight="1" x14ac:dyDescent="0.25">
      <c r="A37" s="13" t="s">
        <v>10</v>
      </c>
      <c r="B37" s="13" t="s">
        <v>8</v>
      </c>
      <c r="C37" s="13" t="s">
        <v>243</v>
      </c>
      <c r="D37" s="13">
        <v>7.5</v>
      </c>
      <c r="E37" s="13" t="s">
        <v>174</v>
      </c>
      <c r="F37" s="13">
        <f t="shared" si="0"/>
        <v>7.5</v>
      </c>
      <c r="G37" s="14">
        <f>IFERROR(INDEX('4. Master Ingredient Inventory'!$I$2:$I$109,MATCH($C37,'4. Master Ingredient Inventory'!$B$2:$B$109,0)),0)</f>
        <v>0.48</v>
      </c>
      <c r="H37" s="15">
        <f t="shared" si="1"/>
        <v>3.5999999999999996</v>
      </c>
      <c r="I37" s="13">
        <f t="shared" si="2"/>
        <v>7.5</v>
      </c>
      <c r="J37" s="15">
        <f t="shared" si="3"/>
        <v>3.5999999999999996</v>
      </c>
    </row>
    <row r="38" spans="1:10" ht="15" customHeight="1" x14ac:dyDescent="0.25">
      <c r="A38" s="13" t="s">
        <v>10</v>
      </c>
      <c r="B38" s="13" t="s">
        <v>8</v>
      </c>
      <c r="C38" s="13" t="s">
        <v>392</v>
      </c>
      <c r="D38" s="13">
        <v>2.5</v>
      </c>
      <c r="E38" s="13" t="s">
        <v>174</v>
      </c>
      <c r="F38" s="13">
        <f t="shared" si="0"/>
        <v>2.5</v>
      </c>
      <c r="G38" s="14">
        <f>IFERROR(INDEX('4. Master Ingredient Inventory'!$I$2:$I$109,MATCH($C38,'4. Master Ingredient Inventory'!$B$2:$B$109,0)),0)</f>
        <v>0.18</v>
      </c>
      <c r="H38" s="15">
        <f t="shared" si="1"/>
        <v>0.44999999999999996</v>
      </c>
      <c r="I38" s="13">
        <f t="shared" si="2"/>
        <v>2.5</v>
      </c>
      <c r="J38" s="15">
        <f t="shared" si="3"/>
        <v>0.44999999999999996</v>
      </c>
    </row>
    <row r="39" spans="1:10" ht="15" customHeight="1" x14ac:dyDescent="0.25">
      <c r="A39" s="13" t="s">
        <v>10</v>
      </c>
      <c r="B39" s="13" t="s">
        <v>8</v>
      </c>
      <c r="C39" s="13" t="s">
        <v>362</v>
      </c>
      <c r="D39" s="13">
        <v>10</v>
      </c>
      <c r="E39" s="13" t="s">
        <v>163</v>
      </c>
      <c r="F39" s="13">
        <f t="shared" si="0"/>
        <v>10</v>
      </c>
      <c r="G39" s="14">
        <f>IFERROR(INDEX('4. Master Ingredient Inventory'!$I$2:$I$109,MATCH($C39,'4. Master Ingredient Inventory'!$B$2:$B$109,0)),0)</f>
        <v>0.12972972972972974</v>
      </c>
      <c r="H39" s="15">
        <f t="shared" si="1"/>
        <v>1.2972972972972974</v>
      </c>
      <c r="I39" s="13">
        <f t="shared" si="2"/>
        <v>10</v>
      </c>
      <c r="J39" s="15">
        <f t="shared" si="3"/>
        <v>1.2972972972972974</v>
      </c>
    </row>
    <row r="40" spans="1:10" ht="15" customHeight="1" x14ac:dyDescent="0.25">
      <c r="A40" s="13" t="s">
        <v>10</v>
      </c>
      <c r="B40" s="13" t="s">
        <v>8</v>
      </c>
      <c r="C40" s="13" t="s">
        <v>301</v>
      </c>
      <c r="D40" s="13">
        <v>0.5</v>
      </c>
      <c r="E40" s="13" t="s">
        <v>174</v>
      </c>
      <c r="F40" s="13">
        <f t="shared" si="0"/>
        <v>0.5</v>
      </c>
      <c r="G40" s="14">
        <f>IFERROR(INDEX('4. Master Ingredient Inventory'!$I$2:$I$109,MATCH($C40,'4. Master Ingredient Inventory'!$B$2:$B$109,0)),0)</f>
        <v>0.28000000000000003</v>
      </c>
      <c r="H40" s="15">
        <f t="shared" si="1"/>
        <v>0.14000000000000001</v>
      </c>
      <c r="I40" s="13">
        <f t="shared" si="2"/>
        <v>0.5</v>
      </c>
      <c r="J40" s="15">
        <f t="shared" si="3"/>
        <v>0.14000000000000001</v>
      </c>
    </row>
    <row r="41" spans="1:10" ht="15" customHeight="1" x14ac:dyDescent="0.25">
      <c r="A41" s="13" t="s">
        <v>10</v>
      </c>
      <c r="B41" s="13" t="s">
        <v>8</v>
      </c>
      <c r="C41" s="13" t="s">
        <v>344</v>
      </c>
      <c r="D41" s="13">
        <v>1</v>
      </c>
      <c r="E41" s="13" t="s">
        <v>174</v>
      </c>
      <c r="F41" s="13">
        <f t="shared" si="0"/>
        <v>1</v>
      </c>
      <c r="G41" s="14">
        <f>IFERROR(INDEX('4. Master Ingredient Inventory'!$I$2:$I$109,MATCH($C41,'4. Master Ingredient Inventory'!$B$2:$B$109,0)),0)</f>
        <v>0.8</v>
      </c>
      <c r="H41" s="15">
        <f t="shared" si="1"/>
        <v>0.8</v>
      </c>
      <c r="I41" s="13">
        <f t="shared" si="2"/>
        <v>1</v>
      </c>
      <c r="J41" s="15">
        <f t="shared" si="3"/>
        <v>0.8</v>
      </c>
    </row>
    <row r="42" spans="1:10" ht="15" customHeight="1" x14ac:dyDescent="0.25">
      <c r="A42" s="13" t="s">
        <v>10</v>
      </c>
      <c r="B42" s="13" t="s">
        <v>8</v>
      </c>
      <c r="C42" s="13" t="s">
        <v>349</v>
      </c>
      <c r="D42" s="13">
        <v>0.1</v>
      </c>
      <c r="E42" s="13" t="s">
        <v>174</v>
      </c>
      <c r="F42" s="13">
        <f t="shared" si="0"/>
        <v>0.1</v>
      </c>
      <c r="G42" s="14">
        <f>IFERROR(INDEX('4. Master Ingredient Inventory'!$I$2:$I$109,MATCH($C42,'4. Master Ingredient Inventory'!$B$2:$B$109,0)),0)</f>
        <v>0.32</v>
      </c>
      <c r="H42" s="15">
        <f t="shared" si="1"/>
        <v>3.2000000000000001E-2</v>
      </c>
      <c r="I42" s="13">
        <f t="shared" si="2"/>
        <v>0.1</v>
      </c>
      <c r="J42" s="15">
        <f t="shared" si="3"/>
        <v>3.2000000000000001E-2</v>
      </c>
    </row>
    <row r="43" spans="1:10" ht="15" customHeight="1" x14ac:dyDescent="0.25">
      <c r="A43" s="13" t="s">
        <v>11</v>
      </c>
      <c r="B43" s="13" t="s">
        <v>8</v>
      </c>
      <c r="C43" s="13" t="s">
        <v>293</v>
      </c>
      <c r="D43" s="13">
        <v>3</v>
      </c>
      <c r="E43" s="13" t="s">
        <v>222</v>
      </c>
      <c r="F43" s="13">
        <f t="shared" si="0"/>
        <v>3</v>
      </c>
      <c r="G43" s="14">
        <f>IFERROR(INDEX('4. Master Ingredient Inventory'!$I$2:$I$109,MATCH($C43,'4. Master Ingredient Inventory'!$B$2:$B$109,0)),0)</f>
        <v>13.77</v>
      </c>
      <c r="H43" s="15">
        <f t="shared" si="1"/>
        <v>41.31</v>
      </c>
      <c r="I43" s="13">
        <f t="shared" si="2"/>
        <v>3</v>
      </c>
      <c r="J43" s="15">
        <f t="shared" si="3"/>
        <v>41.31</v>
      </c>
    </row>
    <row r="44" spans="1:10" ht="15" customHeight="1" x14ac:dyDescent="0.25">
      <c r="A44" s="13" t="s">
        <v>11</v>
      </c>
      <c r="B44" s="13" t="s">
        <v>8</v>
      </c>
      <c r="C44" s="13" t="s">
        <v>170</v>
      </c>
      <c r="D44" s="13">
        <v>22.5</v>
      </c>
      <c r="E44" s="13" t="s">
        <v>174</v>
      </c>
      <c r="F44" s="13">
        <f t="shared" si="0"/>
        <v>22.5</v>
      </c>
      <c r="G44" s="14">
        <f>IFERROR(INDEX('4. Master Ingredient Inventory'!$I$2:$I$109,MATCH($C44,'4. Master Ingredient Inventory'!$B$2:$B$109,0)),0)</f>
        <v>5.8000000000000003E-2</v>
      </c>
      <c r="H44" s="15">
        <f t="shared" si="1"/>
        <v>1.3050000000000002</v>
      </c>
      <c r="I44" s="13">
        <f t="shared" si="2"/>
        <v>22.5</v>
      </c>
      <c r="J44" s="15">
        <f t="shared" si="3"/>
        <v>1.3050000000000002</v>
      </c>
    </row>
    <row r="45" spans="1:10" ht="15" customHeight="1" x14ac:dyDescent="0.25">
      <c r="A45" s="13" t="s">
        <v>11</v>
      </c>
      <c r="B45" s="13" t="s">
        <v>8</v>
      </c>
      <c r="C45" s="13" t="s">
        <v>333</v>
      </c>
      <c r="D45" s="13">
        <v>15</v>
      </c>
      <c r="E45" s="13" t="s">
        <v>174</v>
      </c>
      <c r="F45" s="13">
        <f t="shared" si="0"/>
        <v>15</v>
      </c>
      <c r="G45" s="14">
        <f>IFERROR(INDEX('4. Master Ingredient Inventory'!$I$2:$I$109,MATCH($C45,'4. Master Ingredient Inventory'!$B$2:$B$109,0)),0)</f>
        <v>7.4999999999999997E-2</v>
      </c>
      <c r="H45" s="15">
        <f t="shared" si="1"/>
        <v>1.125</v>
      </c>
      <c r="I45" s="13">
        <f t="shared" si="2"/>
        <v>15</v>
      </c>
      <c r="J45" s="15">
        <f t="shared" si="3"/>
        <v>1.125</v>
      </c>
    </row>
    <row r="46" spans="1:10" ht="15" customHeight="1" x14ac:dyDescent="0.25">
      <c r="A46" s="13" t="s">
        <v>11</v>
      </c>
      <c r="B46" s="13" t="s">
        <v>8</v>
      </c>
      <c r="C46" s="13" t="s">
        <v>188</v>
      </c>
      <c r="D46" s="13">
        <v>1</v>
      </c>
      <c r="E46" s="13" t="s">
        <v>174</v>
      </c>
      <c r="F46" s="13">
        <f t="shared" si="0"/>
        <v>1</v>
      </c>
      <c r="G46" s="14">
        <f>IFERROR(INDEX('4. Master Ingredient Inventory'!$I$2:$I$109,MATCH($C46,'4. Master Ingredient Inventory'!$B$2:$B$109,0)),0)</f>
        <v>0.14000000000000001</v>
      </c>
      <c r="H46" s="15">
        <f t="shared" si="1"/>
        <v>0.14000000000000001</v>
      </c>
      <c r="I46" s="13">
        <f t="shared" si="2"/>
        <v>1</v>
      </c>
      <c r="J46" s="15">
        <f t="shared" si="3"/>
        <v>0.14000000000000001</v>
      </c>
    </row>
    <row r="47" spans="1:10" ht="15" customHeight="1" x14ac:dyDescent="0.25">
      <c r="A47" s="13" t="s">
        <v>11</v>
      </c>
      <c r="B47" s="13" t="s">
        <v>8</v>
      </c>
      <c r="C47" s="13" t="s">
        <v>598</v>
      </c>
      <c r="D47" s="13">
        <v>1</v>
      </c>
      <c r="E47" s="13" t="s">
        <v>174</v>
      </c>
      <c r="F47" s="13">
        <f t="shared" si="0"/>
        <v>1</v>
      </c>
      <c r="G47" s="14">
        <f>IFERROR(INDEX('4. Master Ingredient Inventory'!$I$2:$I$109,MATCH($C47,'4. Master Ingredient Inventory'!$B$2:$B$109,0)),0)</f>
        <v>0.03</v>
      </c>
      <c r="H47" s="15">
        <f t="shared" si="1"/>
        <v>0.03</v>
      </c>
      <c r="I47" s="13">
        <f t="shared" si="2"/>
        <v>1</v>
      </c>
      <c r="J47" s="15">
        <f t="shared" si="3"/>
        <v>0.03</v>
      </c>
    </row>
    <row r="48" spans="1:10" ht="15" customHeight="1" x14ac:dyDescent="0.25">
      <c r="A48" s="13" t="s">
        <v>11</v>
      </c>
      <c r="B48" s="13" t="s">
        <v>8</v>
      </c>
      <c r="C48" s="13" t="s">
        <v>210</v>
      </c>
      <c r="D48" s="13">
        <v>0.5</v>
      </c>
      <c r="E48" s="13" t="s">
        <v>174</v>
      </c>
      <c r="F48" s="13">
        <f t="shared" si="0"/>
        <v>0.5</v>
      </c>
      <c r="G48" s="14">
        <f>IFERROR(INDEX('4. Master Ingredient Inventory'!$I$2:$I$109,MATCH($C48,'4. Master Ingredient Inventory'!$B$2:$B$109,0)),0)</f>
        <v>0.65</v>
      </c>
      <c r="H48" s="15">
        <f t="shared" si="1"/>
        <v>0.32500000000000001</v>
      </c>
      <c r="I48" s="13">
        <f t="shared" si="2"/>
        <v>0.5</v>
      </c>
      <c r="J48" s="15">
        <f t="shared" si="3"/>
        <v>0.32500000000000001</v>
      </c>
    </row>
    <row r="49" spans="1:10" ht="15" customHeight="1" x14ac:dyDescent="0.25">
      <c r="A49" s="13" t="s">
        <v>11</v>
      </c>
      <c r="B49" s="13" t="s">
        <v>8</v>
      </c>
      <c r="C49" s="13" t="s">
        <v>396</v>
      </c>
      <c r="D49" s="13">
        <v>0.5</v>
      </c>
      <c r="E49" s="13" t="s">
        <v>174</v>
      </c>
      <c r="F49" s="13">
        <f t="shared" si="0"/>
        <v>0.5</v>
      </c>
      <c r="G49" s="14">
        <f>IFERROR(INDEX('4. Master Ingredient Inventory'!$I$2:$I$109,MATCH($C49,'4. Master Ingredient Inventory'!$B$2:$B$109,0)),0)</f>
        <v>0.28000000000000003</v>
      </c>
      <c r="H49" s="15">
        <f t="shared" si="1"/>
        <v>0.14000000000000001</v>
      </c>
      <c r="I49" s="13">
        <f t="shared" si="2"/>
        <v>0.5</v>
      </c>
      <c r="J49" s="15">
        <f t="shared" si="3"/>
        <v>0.14000000000000001</v>
      </c>
    </row>
    <row r="50" spans="1:10" ht="15" customHeight="1" x14ac:dyDescent="0.25">
      <c r="A50" s="13" t="s">
        <v>11</v>
      </c>
      <c r="B50" s="13" t="s">
        <v>8</v>
      </c>
      <c r="C50" s="13" t="s">
        <v>323</v>
      </c>
      <c r="D50" s="13">
        <f>3*$T$1</f>
        <v>15</v>
      </c>
      <c r="E50" s="13" t="s">
        <v>163</v>
      </c>
      <c r="F50" s="13">
        <f t="shared" si="0"/>
        <v>15</v>
      </c>
      <c r="G50" s="14">
        <f>IFERROR(INDEX('4. Master Ingredient Inventory'!$I$2:$I$109,MATCH($C50,'4. Master Ingredient Inventory'!$B$2:$B$109,0)),0)</f>
        <v>0.09</v>
      </c>
      <c r="H50" s="15">
        <f t="shared" si="1"/>
        <v>1.3499999999999999</v>
      </c>
      <c r="I50" s="13">
        <f t="shared" si="2"/>
        <v>15</v>
      </c>
      <c r="J50" s="15">
        <f t="shared" si="3"/>
        <v>1.3499999999999999</v>
      </c>
    </row>
    <row r="51" spans="1:10" ht="15" customHeight="1" x14ac:dyDescent="0.25">
      <c r="A51" s="13" t="s">
        <v>11</v>
      </c>
      <c r="B51" s="13" t="s">
        <v>8</v>
      </c>
      <c r="C51" s="13" t="s">
        <v>461</v>
      </c>
      <c r="D51" s="13">
        <v>10</v>
      </c>
      <c r="E51" s="13" t="s">
        <v>163</v>
      </c>
      <c r="F51" s="13">
        <f t="shared" si="0"/>
        <v>10</v>
      </c>
      <c r="G51" s="14">
        <f>IFERROR(INDEX('4. Master Ingredient Inventory'!$I$2:$I$109,MATCH($C51,'4. Master Ingredient Inventory'!$B$2:$B$109,0)),0)</f>
        <v>0.22</v>
      </c>
      <c r="H51" s="15">
        <f t="shared" si="1"/>
        <v>2.2000000000000002</v>
      </c>
      <c r="I51" s="13">
        <f t="shared" si="2"/>
        <v>10</v>
      </c>
      <c r="J51" s="15">
        <f t="shared" si="3"/>
        <v>2.2000000000000002</v>
      </c>
    </row>
    <row r="52" spans="1:10" ht="15" customHeight="1" x14ac:dyDescent="0.25">
      <c r="A52" s="13" t="s">
        <v>11</v>
      </c>
      <c r="B52" s="13" t="s">
        <v>8</v>
      </c>
      <c r="C52" s="13" t="s">
        <v>467</v>
      </c>
      <c r="D52" s="13">
        <v>0.5</v>
      </c>
      <c r="E52" s="13" t="s">
        <v>174</v>
      </c>
      <c r="F52" s="13">
        <f t="shared" si="0"/>
        <v>0.5</v>
      </c>
      <c r="G52" s="14">
        <f>IFERROR(INDEX('4. Master Ingredient Inventory'!$I$2:$I$109,MATCH($C52,'4. Master Ingredient Inventory'!$B$2:$B$109,0)),0)</f>
        <v>0.09</v>
      </c>
      <c r="H52" s="15">
        <f t="shared" si="1"/>
        <v>4.4999999999999998E-2</v>
      </c>
      <c r="I52" s="13">
        <f t="shared" si="2"/>
        <v>0.5</v>
      </c>
      <c r="J52" s="15">
        <f t="shared" si="3"/>
        <v>4.4999999999999998E-2</v>
      </c>
    </row>
    <row r="53" spans="1:10" ht="15" customHeight="1" x14ac:dyDescent="0.25">
      <c r="A53" s="13" t="s">
        <v>11</v>
      </c>
      <c r="B53" s="13" t="s">
        <v>8</v>
      </c>
      <c r="C53" s="13" t="s">
        <v>422</v>
      </c>
      <c r="D53" s="13">
        <v>9</v>
      </c>
      <c r="E53" s="13" t="s">
        <v>174</v>
      </c>
      <c r="F53" s="13">
        <f t="shared" si="0"/>
        <v>9</v>
      </c>
      <c r="G53" s="14">
        <f>IFERROR(INDEX('4. Master Ingredient Inventory'!$I$2:$I$109,MATCH($C53,'4. Master Ingredient Inventory'!$B$2:$B$109,0)),0)</f>
        <v>0.32</v>
      </c>
      <c r="H53" s="15">
        <f t="shared" si="1"/>
        <v>2.88</v>
      </c>
      <c r="I53" s="13">
        <f t="shared" si="2"/>
        <v>9</v>
      </c>
      <c r="J53" s="15">
        <f t="shared" si="3"/>
        <v>2.88</v>
      </c>
    </row>
    <row r="54" spans="1:10" ht="15" customHeight="1" x14ac:dyDescent="0.25">
      <c r="A54" s="13" t="s">
        <v>11</v>
      </c>
      <c r="B54" s="13" t="s">
        <v>8</v>
      </c>
      <c r="C54" s="13" t="s">
        <v>243</v>
      </c>
      <c r="D54" s="13">
        <v>4</v>
      </c>
      <c r="E54" s="13" t="s">
        <v>174</v>
      </c>
      <c r="F54" s="13">
        <f t="shared" si="0"/>
        <v>4</v>
      </c>
      <c r="G54" s="14">
        <f>IFERROR(INDEX('4. Master Ingredient Inventory'!$I$2:$I$109,MATCH($C54,'4. Master Ingredient Inventory'!$B$2:$B$109,0)),0)</f>
        <v>0.48</v>
      </c>
      <c r="H54" s="15">
        <f t="shared" si="1"/>
        <v>1.92</v>
      </c>
      <c r="I54" s="13">
        <f t="shared" si="2"/>
        <v>4</v>
      </c>
      <c r="J54" s="15">
        <f t="shared" si="3"/>
        <v>1.92</v>
      </c>
    </row>
    <row r="55" spans="1:10" ht="15" customHeight="1" x14ac:dyDescent="0.25">
      <c r="A55" s="13" t="s">
        <v>11</v>
      </c>
      <c r="B55" s="13" t="s">
        <v>8</v>
      </c>
      <c r="C55" s="13" t="s">
        <v>392</v>
      </c>
      <c r="D55" s="13">
        <v>1</v>
      </c>
      <c r="E55" s="13" t="s">
        <v>174</v>
      </c>
      <c r="F55" s="13">
        <f t="shared" si="0"/>
        <v>1</v>
      </c>
      <c r="G55" s="14">
        <f>IFERROR(INDEX('4. Master Ingredient Inventory'!$I$2:$I$109,MATCH($C55,'4. Master Ingredient Inventory'!$B$2:$B$109,0)),0)</f>
        <v>0.18</v>
      </c>
      <c r="H55" s="15">
        <f t="shared" si="1"/>
        <v>0.18</v>
      </c>
      <c r="I55" s="13">
        <f t="shared" si="2"/>
        <v>1</v>
      </c>
      <c r="J55" s="15">
        <f t="shared" si="3"/>
        <v>0.18</v>
      </c>
    </row>
    <row r="56" spans="1:10" ht="15" customHeight="1" x14ac:dyDescent="0.25">
      <c r="A56" s="13" t="s">
        <v>11</v>
      </c>
      <c r="B56" s="13" t="s">
        <v>8</v>
      </c>
      <c r="C56" s="13" t="s">
        <v>333</v>
      </c>
      <c r="D56" s="13">
        <v>1</v>
      </c>
      <c r="E56" s="13" t="s">
        <v>174</v>
      </c>
      <c r="F56" s="13">
        <f t="shared" si="0"/>
        <v>1</v>
      </c>
      <c r="G56" s="14">
        <f>IFERROR(INDEX('4. Master Ingredient Inventory'!$I$2:$I$109,MATCH($C56,'4. Master Ingredient Inventory'!$B$2:$B$109,0)),0)</f>
        <v>7.4999999999999997E-2</v>
      </c>
      <c r="H56" s="15">
        <f t="shared" si="1"/>
        <v>7.4999999999999997E-2</v>
      </c>
      <c r="I56" s="13">
        <f t="shared" si="2"/>
        <v>1</v>
      </c>
      <c r="J56" s="15">
        <f t="shared" si="3"/>
        <v>7.4999999999999997E-2</v>
      </c>
    </row>
    <row r="57" spans="1:10" ht="15" customHeight="1" x14ac:dyDescent="0.25">
      <c r="A57" s="13" t="s">
        <v>11</v>
      </c>
      <c r="B57" s="13" t="s">
        <v>8</v>
      </c>
      <c r="C57" s="13" t="s">
        <v>660</v>
      </c>
      <c r="D57" s="13">
        <v>5</v>
      </c>
      <c r="E57" s="13" t="s">
        <v>163</v>
      </c>
      <c r="F57" s="13">
        <f t="shared" si="0"/>
        <v>5</v>
      </c>
      <c r="G57" s="14">
        <f>IFERROR(INDEX('4. Master Ingredient Inventory'!$I$2:$I$109,MATCH($C57,'4. Master Ingredient Inventory'!$B$2:$B$109,0)),0)</f>
        <v>2E-3</v>
      </c>
      <c r="H57" s="15">
        <f t="shared" si="1"/>
        <v>0.01</v>
      </c>
      <c r="I57" s="13">
        <f t="shared" si="2"/>
        <v>5</v>
      </c>
      <c r="J57" s="15">
        <f t="shared" si="3"/>
        <v>0.01</v>
      </c>
    </row>
    <row r="58" spans="1:10" ht="15" customHeight="1" x14ac:dyDescent="0.25">
      <c r="A58" s="13" t="s">
        <v>12</v>
      </c>
      <c r="B58" s="13" t="s">
        <v>8</v>
      </c>
      <c r="C58" s="13" t="s">
        <v>293</v>
      </c>
      <c r="D58" s="13">
        <v>3</v>
      </c>
      <c r="E58" s="13" t="s">
        <v>222</v>
      </c>
      <c r="F58" s="13">
        <f t="shared" si="0"/>
        <v>3</v>
      </c>
      <c r="G58" s="14">
        <f>IFERROR(INDEX('4. Master Ingredient Inventory'!$I$2:$I$109,MATCH($C58,'4. Master Ingredient Inventory'!$B$2:$B$109,0)),0)</f>
        <v>13.77</v>
      </c>
      <c r="H58" s="15">
        <f t="shared" si="1"/>
        <v>41.31</v>
      </c>
      <c r="I58" s="13">
        <f t="shared" si="2"/>
        <v>3</v>
      </c>
      <c r="J58" s="15">
        <f t="shared" si="3"/>
        <v>41.31</v>
      </c>
    </row>
    <row r="59" spans="1:10" ht="15" customHeight="1" x14ac:dyDescent="0.25">
      <c r="A59" s="13" t="s">
        <v>12</v>
      </c>
      <c r="B59" s="13" t="s">
        <v>8</v>
      </c>
      <c r="C59" s="13" t="s">
        <v>170</v>
      </c>
      <c r="D59" s="13">
        <v>22.5</v>
      </c>
      <c r="E59" s="13" t="s">
        <v>174</v>
      </c>
      <c r="F59" s="13">
        <f t="shared" si="0"/>
        <v>22.5</v>
      </c>
      <c r="G59" s="14">
        <f>IFERROR(INDEX('4. Master Ingredient Inventory'!$I$2:$I$109,MATCH($C59,'4. Master Ingredient Inventory'!$B$2:$B$109,0)),0)</f>
        <v>5.8000000000000003E-2</v>
      </c>
      <c r="H59" s="15">
        <f t="shared" si="1"/>
        <v>1.3050000000000002</v>
      </c>
      <c r="I59" s="13">
        <f t="shared" si="2"/>
        <v>22.5</v>
      </c>
      <c r="J59" s="15">
        <f t="shared" si="3"/>
        <v>1.3050000000000002</v>
      </c>
    </row>
    <row r="60" spans="1:10" ht="15" customHeight="1" x14ac:dyDescent="0.25">
      <c r="A60" s="13" t="s">
        <v>12</v>
      </c>
      <c r="B60" s="13" t="s">
        <v>8</v>
      </c>
      <c r="C60" s="13" t="s">
        <v>333</v>
      </c>
      <c r="D60" s="13">
        <v>15</v>
      </c>
      <c r="E60" s="13" t="s">
        <v>174</v>
      </c>
      <c r="F60" s="13">
        <f t="shared" si="0"/>
        <v>15</v>
      </c>
      <c r="G60" s="14">
        <f>IFERROR(INDEX('4. Master Ingredient Inventory'!$I$2:$I$109,MATCH($C60,'4. Master Ingredient Inventory'!$B$2:$B$109,0)),0)</f>
        <v>7.4999999999999997E-2</v>
      </c>
      <c r="H60" s="15">
        <f t="shared" si="1"/>
        <v>1.125</v>
      </c>
      <c r="I60" s="13">
        <f t="shared" si="2"/>
        <v>15</v>
      </c>
      <c r="J60" s="15">
        <f t="shared" si="3"/>
        <v>1.125</v>
      </c>
    </row>
    <row r="61" spans="1:10" ht="15" customHeight="1" x14ac:dyDescent="0.25">
      <c r="A61" s="13" t="s">
        <v>12</v>
      </c>
      <c r="B61" s="13" t="s">
        <v>8</v>
      </c>
      <c r="C61" s="13" t="s">
        <v>188</v>
      </c>
      <c r="D61" s="13">
        <v>1</v>
      </c>
      <c r="E61" s="13" t="s">
        <v>174</v>
      </c>
      <c r="F61" s="13">
        <f t="shared" si="0"/>
        <v>1</v>
      </c>
      <c r="G61" s="14">
        <f>IFERROR(INDEX('4. Master Ingredient Inventory'!$I$2:$I$109,MATCH($C61,'4. Master Ingredient Inventory'!$B$2:$B$109,0)),0)</f>
        <v>0.14000000000000001</v>
      </c>
      <c r="H61" s="15">
        <f t="shared" si="1"/>
        <v>0.14000000000000001</v>
      </c>
      <c r="I61" s="13">
        <f t="shared" si="2"/>
        <v>1</v>
      </c>
      <c r="J61" s="15">
        <f t="shared" si="3"/>
        <v>0.14000000000000001</v>
      </c>
    </row>
    <row r="62" spans="1:10" ht="15" customHeight="1" x14ac:dyDescent="0.25">
      <c r="A62" s="13" t="s">
        <v>12</v>
      </c>
      <c r="B62" s="13" t="s">
        <v>8</v>
      </c>
      <c r="C62" s="13" t="s">
        <v>598</v>
      </c>
      <c r="D62" s="13">
        <v>1</v>
      </c>
      <c r="E62" s="13" t="s">
        <v>174</v>
      </c>
      <c r="F62" s="13">
        <f t="shared" si="0"/>
        <v>1</v>
      </c>
      <c r="G62" s="14">
        <f>IFERROR(INDEX('4. Master Ingredient Inventory'!$I$2:$I$109,MATCH($C62,'4. Master Ingredient Inventory'!$B$2:$B$109,0)),0)</f>
        <v>0.03</v>
      </c>
      <c r="H62" s="15">
        <f t="shared" si="1"/>
        <v>0.03</v>
      </c>
      <c r="I62" s="13">
        <f t="shared" si="2"/>
        <v>1</v>
      </c>
      <c r="J62" s="15">
        <f t="shared" si="3"/>
        <v>0.03</v>
      </c>
    </row>
    <row r="63" spans="1:10" ht="15" customHeight="1" x14ac:dyDescent="0.25">
      <c r="A63" s="13" t="s">
        <v>12</v>
      </c>
      <c r="B63" s="13" t="s">
        <v>8</v>
      </c>
      <c r="C63" s="13" t="s">
        <v>210</v>
      </c>
      <c r="D63" s="13">
        <v>0.5</v>
      </c>
      <c r="E63" s="13" t="s">
        <v>174</v>
      </c>
      <c r="F63" s="13">
        <f t="shared" si="0"/>
        <v>0.5</v>
      </c>
      <c r="G63" s="14">
        <f>IFERROR(INDEX('4. Master Ingredient Inventory'!$I$2:$I$109,MATCH($C63,'4. Master Ingredient Inventory'!$B$2:$B$109,0)),0)</f>
        <v>0.65</v>
      </c>
      <c r="H63" s="15">
        <f t="shared" si="1"/>
        <v>0.32500000000000001</v>
      </c>
      <c r="I63" s="13">
        <f t="shared" si="2"/>
        <v>0.5</v>
      </c>
      <c r="J63" s="15">
        <f t="shared" si="3"/>
        <v>0.32500000000000001</v>
      </c>
    </row>
    <row r="64" spans="1:10" ht="15" customHeight="1" x14ac:dyDescent="0.25">
      <c r="A64" s="13" t="s">
        <v>12</v>
      </c>
      <c r="B64" s="13" t="s">
        <v>8</v>
      </c>
      <c r="C64" s="13" t="s">
        <v>396</v>
      </c>
      <c r="D64" s="13">
        <v>1</v>
      </c>
      <c r="E64" s="13" t="s">
        <v>174</v>
      </c>
      <c r="F64" s="13">
        <f t="shared" si="0"/>
        <v>1</v>
      </c>
      <c r="G64" s="14">
        <f>IFERROR(INDEX('4. Master Ingredient Inventory'!$I$2:$I$109,MATCH($C64,'4. Master Ingredient Inventory'!$B$2:$B$109,0)),0)</f>
        <v>0.28000000000000003</v>
      </c>
      <c r="H64" s="15">
        <f t="shared" si="1"/>
        <v>0.28000000000000003</v>
      </c>
      <c r="I64" s="13">
        <f t="shared" si="2"/>
        <v>1</v>
      </c>
      <c r="J64" s="15">
        <f t="shared" si="3"/>
        <v>0.28000000000000003</v>
      </c>
    </row>
    <row r="65" spans="1:10" ht="15" customHeight="1" x14ac:dyDescent="0.25">
      <c r="A65" s="13" t="s">
        <v>12</v>
      </c>
      <c r="B65" s="13" t="s">
        <v>8</v>
      </c>
      <c r="C65" s="13" t="s">
        <v>323</v>
      </c>
      <c r="D65" s="13">
        <f>3*$T$1</f>
        <v>15</v>
      </c>
      <c r="E65" s="13" t="s">
        <v>163</v>
      </c>
      <c r="F65" s="13">
        <f t="shared" si="0"/>
        <v>15</v>
      </c>
      <c r="G65" s="14">
        <f>IFERROR(INDEX('4. Master Ingredient Inventory'!$I$2:$I$109,MATCH($C65,'4. Master Ingredient Inventory'!$B$2:$B$109,0)),0)</f>
        <v>0.09</v>
      </c>
      <c r="H65" s="15">
        <f t="shared" si="1"/>
        <v>1.3499999999999999</v>
      </c>
      <c r="I65" s="13">
        <f t="shared" si="2"/>
        <v>15</v>
      </c>
      <c r="J65" s="15">
        <f t="shared" si="3"/>
        <v>1.3499999999999999</v>
      </c>
    </row>
    <row r="66" spans="1:10" ht="15" customHeight="1" x14ac:dyDescent="0.25">
      <c r="A66" s="13" t="s">
        <v>13</v>
      </c>
      <c r="B66" s="13" t="s">
        <v>8</v>
      </c>
      <c r="C66" s="13" t="s">
        <v>293</v>
      </c>
      <c r="D66" s="13">
        <v>3</v>
      </c>
      <c r="E66" s="13" t="s">
        <v>222</v>
      </c>
      <c r="F66" s="13">
        <f t="shared" si="0"/>
        <v>3</v>
      </c>
      <c r="G66" s="14">
        <f>IFERROR(INDEX('4. Master Ingredient Inventory'!$I$2:$I$109,MATCH($C66,'4. Master Ingredient Inventory'!$B$2:$B$109,0)),0)</f>
        <v>13.77</v>
      </c>
      <c r="H66" s="15">
        <f t="shared" si="1"/>
        <v>41.31</v>
      </c>
      <c r="I66" s="13">
        <f t="shared" si="2"/>
        <v>3</v>
      </c>
      <c r="J66" s="15">
        <f t="shared" si="3"/>
        <v>41.31</v>
      </c>
    </row>
    <row r="67" spans="1:10" ht="15" customHeight="1" x14ac:dyDescent="0.25">
      <c r="A67" s="13" t="s">
        <v>13</v>
      </c>
      <c r="B67" s="13" t="s">
        <v>8</v>
      </c>
      <c r="C67" s="13" t="s">
        <v>170</v>
      </c>
      <c r="D67" s="13">
        <v>22.5</v>
      </c>
      <c r="E67" s="13" t="s">
        <v>174</v>
      </c>
      <c r="F67" s="13">
        <f t="shared" si="0"/>
        <v>22.5</v>
      </c>
      <c r="G67" s="14">
        <f>IFERROR(INDEX('4. Master Ingredient Inventory'!$I$2:$I$109,MATCH($C67,'4. Master Ingredient Inventory'!$B$2:$B$109,0)),0)</f>
        <v>5.8000000000000003E-2</v>
      </c>
      <c r="H67" s="15">
        <f t="shared" si="1"/>
        <v>1.3050000000000002</v>
      </c>
      <c r="I67" s="13">
        <f t="shared" si="2"/>
        <v>22.5</v>
      </c>
      <c r="J67" s="15">
        <f t="shared" si="3"/>
        <v>1.3050000000000002</v>
      </c>
    </row>
    <row r="68" spans="1:10" ht="15" customHeight="1" x14ac:dyDescent="0.25">
      <c r="A68" s="13" t="s">
        <v>13</v>
      </c>
      <c r="B68" s="13" t="s">
        <v>8</v>
      </c>
      <c r="C68" s="13" t="s">
        <v>333</v>
      </c>
      <c r="D68" s="13">
        <v>15</v>
      </c>
      <c r="E68" s="13" t="s">
        <v>174</v>
      </c>
      <c r="F68" s="13">
        <f t="shared" ref="F68:F131" si="4">$D68*1</f>
        <v>15</v>
      </c>
      <c r="G68" s="14">
        <f>IFERROR(INDEX('4. Master Ingredient Inventory'!$I$2:$I$109,MATCH($C68,'4. Master Ingredient Inventory'!$B$2:$B$109,0)),0)</f>
        <v>7.4999999999999997E-2</v>
      </c>
      <c r="H68" s="15">
        <f t="shared" ref="H68:H131" si="5">$F68*$G68</f>
        <v>1.125</v>
      </c>
      <c r="I68" s="13">
        <f t="shared" ref="I68:I131" si="6">IF(AND($C68="Cooking Oil",$D68&gt;=100),$D68*$L$1,$F68)</f>
        <v>15</v>
      </c>
      <c r="J68" s="15">
        <f t="shared" ref="J68:J131" si="7">$I68*$G68</f>
        <v>1.125</v>
      </c>
    </row>
    <row r="69" spans="1:10" ht="15" customHeight="1" x14ac:dyDescent="0.25">
      <c r="A69" s="13" t="s">
        <v>13</v>
      </c>
      <c r="B69" s="13" t="s">
        <v>8</v>
      </c>
      <c r="C69" s="13" t="s">
        <v>188</v>
      </c>
      <c r="D69" s="13">
        <v>1</v>
      </c>
      <c r="E69" s="13" t="s">
        <v>174</v>
      </c>
      <c r="F69" s="13">
        <f t="shared" si="4"/>
        <v>1</v>
      </c>
      <c r="G69" s="14">
        <f>IFERROR(INDEX('4. Master Ingredient Inventory'!$I$2:$I$109,MATCH($C69,'4. Master Ingredient Inventory'!$B$2:$B$109,0)),0)</f>
        <v>0.14000000000000001</v>
      </c>
      <c r="H69" s="15">
        <f t="shared" si="5"/>
        <v>0.14000000000000001</v>
      </c>
      <c r="I69" s="13">
        <f t="shared" si="6"/>
        <v>1</v>
      </c>
      <c r="J69" s="15">
        <f t="shared" si="7"/>
        <v>0.14000000000000001</v>
      </c>
    </row>
    <row r="70" spans="1:10" ht="15" customHeight="1" x14ac:dyDescent="0.25">
      <c r="A70" s="13" t="s">
        <v>13</v>
      </c>
      <c r="B70" s="13" t="s">
        <v>8</v>
      </c>
      <c r="C70" s="13" t="s">
        <v>598</v>
      </c>
      <c r="D70" s="13">
        <v>1</v>
      </c>
      <c r="E70" s="13" t="s">
        <v>174</v>
      </c>
      <c r="F70" s="13">
        <f t="shared" si="4"/>
        <v>1</v>
      </c>
      <c r="G70" s="14">
        <f>IFERROR(INDEX('4. Master Ingredient Inventory'!$I$2:$I$109,MATCH($C70,'4. Master Ingredient Inventory'!$B$2:$B$109,0)),0)</f>
        <v>0.03</v>
      </c>
      <c r="H70" s="15">
        <f t="shared" si="5"/>
        <v>0.03</v>
      </c>
      <c r="I70" s="13">
        <f t="shared" si="6"/>
        <v>1</v>
      </c>
      <c r="J70" s="15">
        <f t="shared" si="7"/>
        <v>0.03</v>
      </c>
    </row>
    <row r="71" spans="1:10" ht="15" customHeight="1" x14ac:dyDescent="0.25">
      <c r="A71" s="13" t="s">
        <v>13</v>
      </c>
      <c r="B71" s="13" t="s">
        <v>8</v>
      </c>
      <c r="C71" s="13" t="s">
        <v>210</v>
      </c>
      <c r="D71" s="13">
        <v>0.5</v>
      </c>
      <c r="E71" s="13" t="s">
        <v>174</v>
      </c>
      <c r="F71" s="13">
        <f t="shared" si="4"/>
        <v>0.5</v>
      </c>
      <c r="G71" s="14">
        <f>IFERROR(INDEX('4. Master Ingredient Inventory'!$I$2:$I$109,MATCH($C71,'4. Master Ingredient Inventory'!$B$2:$B$109,0)),0)</f>
        <v>0.65</v>
      </c>
      <c r="H71" s="15">
        <f t="shared" si="5"/>
        <v>0.32500000000000001</v>
      </c>
      <c r="I71" s="13">
        <f t="shared" si="6"/>
        <v>0.5</v>
      </c>
      <c r="J71" s="15">
        <f t="shared" si="7"/>
        <v>0.32500000000000001</v>
      </c>
    </row>
    <row r="72" spans="1:10" ht="15" customHeight="1" x14ac:dyDescent="0.25">
      <c r="A72" s="13" t="s">
        <v>13</v>
      </c>
      <c r="B72" s="13" t="s">
        <v>8</v>
      </c>
      <c r="C72" s="13" t="s">
        <v>396</v>
      </c>
      <c r="D72" s="13">
        <v>0.5</v>
      </c>
      <c r="E72" s="13" t="s">
        <v>174</v>
      </c>
      <c r="F72" s="13">
        <f t="shared" si="4"/>
        <v>0.5</v>
      </c>
      <c r="G72" s="14">
        <f>IFERROR(INDEX('4. Master Ingredient Inventory'!$I$2:$I$109,MATCH($C72,'4. Master Ingredient Inventory'!$B$2:$B$109,0)),0)</f>
        <v>0.28000000000000003</v>
      </c>
      <c r="H72" s="15">
        <f t="shared" si="5"/>
        <v>0.14000000000000001</v>
      </c>
      <c r="I72" s="13">
        <f t="shared" si="6"/>
        <v>0.5</v>
      </c>
      <c r="J72" s="15">
        <f t="shared" si="7"/>
        <v>0.14000000000000001</v>
      </c>
    </row>
    <row r="73" spans="1:10" ht="15" customHeight="1" x14ac:dyDescent="0.25">
      <c r="A73" s="13" t="s">
        <v>13</v>
      </c>
      <c r="B73" s="13" t="s">
        <v>8</v>
      </c>
      <c r="C73" s="13" t="s">
        <v>323</v>
      </c>
      <c r="D73" s="13">
        <f>3*$T$1</f>
        <v>15</v>
      </c>
      <c r="E73" s="13" t="s">
        <v>163</v>
      </c>
      <c r="F73" s="13">
        <f t="shared" si="4"/>
        <v>15</v>
      </c>
      <c r="G73" s="14">
        <f>IFERROR(INDEX('4. Master Ingredient Inventory'!$I$2:$I$109,MATCH($C73,'4. Master Ingredient Inventory'!$B$2:$B$109,0)),0)</f>
        <v>0.09</v>
      </c>
      <c r="H73" s="15">
        <f t="shared" si="5"/>
        <v>1.3499999999999999</v>
      </c>
      <c r="I73" s="13">
        <f t="shared" si="6"/>
        <v>15</v>
      </c>
      <c r="J73" s="15">
        <f t="shared" si="7"/>
        <v>1.3499999999999999</v>
      </c>
    </row>
    <row r="74" spans="1:10" ht="15" customHeight="1" x14ac:dyDescent="0.25">
      <c r="A74" s="13" t="s">
        <v>13</v>
      </c>
      <c r="B74" s="13" t="s">
        <v>8</v>
      </c>
      <c r="C74" s="13" t="s">
        <v>457</v>
      </c>
      <c r="D74" s="13">
        <v>22.5</v>
      </c>
      <c r="E74" s="13" t="s">
        <v>163</v>
      </c>
      <c r="F74" s="13">
        <f t="shared" si="4"/>
        <v>22.5</v>
      </c>
      <c r="G74" s="14">
        <f>IFERROR(INDEX('4. Master Ingredient Inventory'!$I$2:$I$109,MATCH($C74,'4. Master Ingredient Inventory'!$B$2:$B$109,0)),0)</f>
        <v>0.32</v>
      </c>
      <c r="H74" s="15">
        <f t="shared" si="5"/>
        <v>7.2</v>
      </c>
      <c r="I74" s="13">
        <f t="shared" si="6"/>
        <v>22.5</v>
      </c>
      <c r="J74" s="15">
        <f t="shared" si="7"/>
        <v>7.2</v>
      </c>
    </row>
    <row r="75" spans="1:10" ht="15" customHeight="1" x14ac:dyDescent="0.25">
      <c r="A75" s="13" t="s">
        <v>13</v>
      </c>
      <c r="B75" s="13" t="s">
        <v>8</v>
      </c>
      <c r="C75" s="13" t="s">
        <v>618</v>
      </c>
      <c r="D75" s="13">
        <v>2.5</v>
      </c>
      <c r="E75" s="13" t="s">
        <v>163</v>
      </c>
      <c r="F75" s="13">
        <f t="shared" si="4"/>
        <v>2.5</v>
      </c>
      <c r="G75" s="14">
        <f>IFERROR(INDEX('4. Master Ingredient Inventory'!$I$2:$I$109,MATCH($C75,'4. Master Ingredient Inventory'!$B$2:$B$109,0)),0)</f>
        <v>6.5000000000000002E-2</v>
      </c>
      <c r="H75" s="15">
        <f t="shared" si="5"/>
        <v>0.16250000000000001</v>
      </c>
      <c r="I75" s="13">
        <f t="shared" si="6"/>
        <v>2.5</v>
      </c>
      <c r="J75" s="15">
        <f t="shared" si="7"/>
        <v>0.16250000000000001</v>
      </c>
    </row>
    <row r="76" spans="1:10" ht="15" customHeight="1" x14ac:dyDescent="0.25">
      <c r="A76" s="13" t="s">
        <v>13</v>
      </c>
      <c r="B76" s="13" t="s">
        <v>8</v>
      </c>
      <c r="C76" s="13" t="s">
        <v>422</v>
      </c>
      <c r="D76" s="13">
        <v>4</v>
      </c>
      <c r="E76" s="13" t="s">
        <v>174</v>
      </c>
      <c r="F76" s="13">
        <f t="shared" si="4"/>
        <v>4</v>
      </c>
      <c r="G76" s="14">
        <f>IFERROR(INDEX('4. Master Ingredient Inventory'!$I$2:$I$109,MATCH($C76,'4. Master Ingredient Inventory'!$B$2:$B$109,0)),0)</f>
        <v>0.32</v>
      </c>
      <c r="H76" s="15">
        <f t="shared" si="5"/>
        <v>1.28</v>
      </c>
      <c r="I76" s="13">
        <f t="shared" si="6"/>
        <v>4</v>
      </c>
      <c r="J76" s="15">
        <f t="shared" si="7"/>
        <v>1.28</v>
      </c>
    </row>
    <row r="77" spans="1:10" ht="15" customHeight="1" x14ac:dyDescent="0.25">
      <c r="A77" s="13" t="s">
        <v>13</v>
      </c>
      <c r="B77" s="13" t="s">
        <v>8</v>
      </c>
      <c r="C77" s="13" t="s">
        <v>392</v>
      </c>
      <c r="D77" s="13">
        <v>2</v>
      </c>
      <c r="E77" s="13" t="s">
        <v>174</v>
      </c>
      <c r="F77" s="13">
        <f t="shared" si="4"/>
        <v>2</v>
      </c>
      <c r="G77" s="14">
        <f>IFERROR(INDEX('4. Master Ingredient Inventory'!$I$2:$I$109,MATCH($C77,'4. Master Ingredient Inventory'!$B$2:$B$109,0)),0)</f>
        <v>0.18</v>
      </c>
      <c r="H77" s="15">
        <f t="shared" si="5"/>
        <v>0.36</v>
      </c>
      <c r="I77" s="13">
        <f t="shared" si="6"/>
        <v>2</v>
      </c>
      <c r="J77" s="15">
        <f t="shared" si="7"/>
        <v>0.36</v>
      </c>
    </row>
    <row r="78" spans="1:10" ht="15" customHeight="1" x14ac:dyDescent="0.25">
      <c r="A78" s="13" t="s">
        <v>13</v>
      </c>
      <c r="B78" s="13" t="s">
        <v>8</v>
      </c>
      <c r="C78" s="13" t="s">
        <v>608</v>
      </c>
      <c r="D78" s="13">
        <v>1</v>
      </c>
      <c r="E78" s="13" t="s">
        <v>163</v>
      </c>
      <c r="F78" s="13">
        <f t="shared" si="4"/>
        <v>1</v>
      </c>
      <c r="G78" s="14">
        <f>IFERROR(INDEX('4. Master Ingredient Inventory'!$I$2:$I$109,MATCH($C78,'4. Master Ingredient Inventory'!$B$2:$B$109,0)),0)</f>
        <v>0.72</v>
      </c>
      <c r="H78" s="15">
        <f t="shared" si="5"/>
        <v>0.72</v>
      </c>
      <c r="I78" s="13">
        <f t="shared" si="6"/>
        <v>1</v>
      </c>
      <c r="J78" s="15">
        <f t="shared" si="7"/>
        <v>0.72</v>
      </c>
    </row>
    <row r="79" spans="1:10" ht="15" customHeight="1" x14ac:dyDescent="0.25">
      <c r="A79" s="13" t="s">
        <v>13</v>
      </c>
      <c r="B79" s="13" t="s">
        <v>8</v>
      </c>
      <c r="C79" s="13" t="s">
        <v>613</v>
      </c>
      <c r="D79" s="13">
        <v>1</v>
      </c>
      <c r="E79" s="13" t="s">
        <v>174</v>
      </c>
      <c r="F79" s="13">
        <f t="shared" si="4"/>
        <v>1</v>
      </c>
      <c r="G79" s="14">
        <f>IFERROR(INDEX('4. Master Ingredient Inventory'!$I$2:$I$109,MATCH($C79,'4. Master Ingredient Inventory'!$B$2:$B$109,0)),0)</f>
        <v>0.32</v>
      </c>
      <c r="H79" s="15">
        <f t="shared" si="5"/>
        <v>0.32</v>
      </c>
      <c r="I79" s="13">
        <f t="shared" si="6"/>
        <v>1</v>
      </c>
      <c r="J79" s="15">
        <f t="shared" si="7"/>
        <v>0.32</v>
      </c>
    </row>
    <row r="80" spans="1:10" ht="15" customHeight="1" x14ac:dyDescent="0.25">
      <c r="A80" s="13" t="s">
        <v>14</v>
      </c>
      <c r="B80" s="13" t="s">
        <v>8</v>
      </c>
      <c r="C80" s="13" t="s">
        <v>293</v>
      </c>
      <c r="D80" s="13">
        <v>3</v>
      </c>
      <c r="E80" s="13" t="s">
        <v>222</v>
      </c>
      <c r="F80" s="13">
        <f t="shared" si="4"/>
        <v>3</v>
      </c>
      <c r="G80" s="14">
        <f>IFERROR(INDEX('4. Master Ingredient Inventory'!$I$2:$I$109,MATCH($C80,'4. Master Ingredient Inventory'!$B$2:$B$109,0)),0)</f>
        <v>13.77</v>
      </c>
      <c r="H80" s="15">
        <f t="shared" si="5"/>
        <v>41.31</v>
      </c>
      <c r="I80" s="13">
        <f t="shared" si="6"/>
        <v>3</v>
      </c>
      <c r="J80" s="15">
        <f t="shared" si="7"/>
        <v>41.31</v>
      </c>
    </row>
    <row r="81" spans="1:10" ht="15" customHeight="1" x14ac:dyDescent="0.25">
      <c r="A81" s="13" t="s">
        <v>14</v>
      </c>
      <c r="B81" s="13" t="s">
        <v>8</v>
      </c>
      <c r="C81" s="13" t="s">
        <v>170</v>
      </c>
      <c r="D81" s="13">
        <v>22.5</v>
      </c>
      <c r="E81" s="13" t="s">
        <v>174</v>
      </c>
      <c r="F81" s="13">
        <f t="shared" si="4"/>
        <v>22.5</v>
      </c>
      <c r="G81" s="14">
        <f>IFERROR(INDEX('4. Master Ingredient Inventory'!$I$2:$I$109,MATCH($C81,'4. Master Ingredient Inventory'!$B$2:$B$109,0)),0)</f>
        <v>5.8000000000000003E-2</v>
      </c>
      <c r="H81" s="15">
        <f t="shared" si="5"/>
        <v>1.3050000000000002</v>
      </c>
      <c r="I81" s="13">
        <f t="shared" si="6"/>
        <v>22.5</v>
      </c>
      <c r="J81" s="15">
        <f t="shared" si="7"/>
        <v>1.3050000000000002</v>
      </c>
    </row>
    <row r="82" spans="1:10" ht="15" customHeight="1" x14ac:dyDescent="0.25">
      <c r="A82" s="13" t="s">
        <v>14</v>
      </c>
      <c r="B82" s="13" t="s">
        <v>8</v>
      </c>
      <c r="C82" s="13" t="s">
        <v>333</v>
      </c>
      <c r="D82" s="13">
        <v>15</v>
      </c>
      <c r="E82" s="13" t="s">
        <v>174</v>
      </c>
      <c r="F82" s="13">
        <f t="shared" si="4"/>
        <v>15</v>
      </c>
      <c r="G82" s="14">
        <f>IFERROR(INDEX('4. Master Ingredient Inventory'!$I$2:$I$109,MATCH($C82,'4. Master Ingredient Inventory'!$B$2:$B$109,0)),0)</f>
        <v>7.4999999999999997E-2</v>
      </c>
      <c r="H82" s="15">
        <f t="shared" si="5"/>
        <v>1.125</v>
      </c>
      <c r="I82" s="13">
        <f t="shared" si="6"/>
        <v>15</v>
      </c>
      <c r="J82" s="15">
        <f t="shared" si="7"/>
        <v>1.125</v>
      </c>
    </row>
    <row r="83" spans="1:10" ht="15" customHeight="1" x14ac:dyDescent="0.25">
      <c r="A83" s="13" t="s">
        <v>14</v>
      </c>
      <c r="B83" s="13" t="s">
        <v>8</v>
      </c>
      <c r="C83" s="13" t="s">
        <v>188</v>
      </c>
      <c r="D83" s="13">
        <v>1</v>
      </c>
      <c r="E83" s="13" t="s">
        <v>174</v>
      </c>
      <c r="F83" s="13">
        <f t="shared" si="4"/>
        <v>1</v>
      </c>
      <c r="G83" s="14">
        <f>IFERROR(INDEX('4. Master Ingredient Inventory'!$I$2:$I$109,MATCH($C83,'4. Master Ingredient Inventory'!$B$2:$B$109,0)),0)</f>
        <v>0.14000000000000001</v>
      </c>
      <c r="H83" s="15">
        <f t="shared" si="5"/>
        <v>0.14000000000000001</v>
      </c>
      <c r="I83" s="13">
        <f t="shared" si="6"/>
        <v>1</v>
      </c>
      <c r="J83" s="15">
        <f t="shared" si="7"/>
        <v>0.14000000000000001</v>
      </c>
    </row>
    <row r="84" spans="1:10" ht="15" customHeight="1" x14ac:dyDescent="0.25">
      <c r="A84" s="13" t="s">
        <v>14</v>
      </c>
      <c r="B84" s="13" t="s">
        <v>8</v>
      </c>
      <c r="C84" s="13" t="s">
        <v>598</v>
      </c>
      <c r="D84" s="13">
        <v>1</v>
      </c>
      <c r="E84" s="13" t="s">
        <v>174</v>
      </c>
      <c r="F84" s="13">
        <f t="shared" si="4"/>
        <v>1</v>
      </c>
      <c r="G84" s="14">
        <f>IFERROR(INDEX('4. Master Ingredient Inventory'!$I$2:$I$109,MATCH($C84,'4. Master Ingredient Inventory'!$B$2:$B$109,0)),0)</f>
        <v>0.03</v>
      </c>
      <c r="H84" s="15">
        <f t="shared" si="5"/>
        <v>0.03</v>
      </c>
      <c r="I84" s="13">
        <f t="shared" si="6"/>
        <v>1</v>
      </c>
      <c r="J84" s="15">
        <f t="shared" si="7"/>
        <v>0.03</v>
      </c>
    </row>
    <row r="85" spans="1:10" ht="15" customHeight="1" x14ac:dyDescent="0.25">
      <c r="A85" s="13" t="s">
        <v>14</v>
      </c>
      <c r="B85" s="13" t="s">
        <v>8</v>
      </c>
      <c r="C85" s="13" t="s">
        <v>210</v>
      </c>
      <c r="D85" s="13">
        <v>0.5</v>
      </c>
      <c r="E85" s="13" t="s">
        <v>174</v>
      </c>
      <c r="F85" s="13">
        <f t="shared" si="4"/>
        <v>0.5</v>
      </c>
      <c r="G85" s="14">
        <f>IFERROR(INDEX('4. Master Ingredient Inventory'!$I$2:$I$109,MATCH($C85,'4. Master Ingredient Inventory'!$B$2:$B$109,0)),0)</f>
        <v>0.65</v>
      </c>
      <c r="H85" s="15">
        <f t="shared" si="5"/>
        <v>0.32500000000000001</v>
      </c>
      <c r="I85" s="13">
        <f t="shared" si="6"/>
        <v>0.5</v>
      </c>
      <c r="J85" s="15">
        <f t="shared" si="7"/>
        <v>0.32500000000000001</v>
      </c>
    </row>
    <row r="86" spans="1:10" ht="15" customHeight="1" x14ac:dyDescent="0.25">
      <c r="A86" s="13" t="s">
        <v>14</v>
      </c>
      <c r="B86" s="13" t="s">
        <v>8</v>
      </c>
      <c r="C86" s="13" t="s">
        <v>396</v>
      </c>
      <c r="D86" s="13">
        <v>0.5</v>
      </c>
      <c r="E86" s="13" t="s">
        <v>174</v>
      </c>
      <c r="F86" s="13">
        <f t="shared" si="4"/>
        <v>0.5</v>
      </c>
      <c r="G86" s="14">
        <f>IFERROR(INDEX('4. Master Ingredient Inventory'!$I$2:$I$109,MATCH($C86,'4. Master Ingredient Inventory'!$B$2:$B$109,0)),0)</f>
        <v>0.28000000000000003</v>
      </c>
      <c r="H86" s="15">
        <f t="shared" si="5"/>
        <v>0.14000000000000001</v>
      </c>
      <c r="I86" s="13">
        <f t="shared" si="6"/>
        <v>0.5</v>
      </c>
      <c r="J86" s="15">
        <f t="shared" si="7"/>
        <v>0.14000000000000001</v>
      </c>
    </row>
    <row r="87" spans="1:10" ht="15" customHeight="1" x14ac:dyDescent="0.25">
      <c r="A87" s="13" t="s">
        <v>14</v>
      </c>
      <c r="B87" s="13" t="s">
        <v>8</v>
      </c>
      <c r="C87" s="13" t="s">
        <v>323</v>
      </c>
      <c r="D87" s="13">
        <f>3*$T$1</f>
        <v>15</v>
      </c>
      <c r="E87" s="13" t="s">
        <v>163</v>
      </c>
      <c r="F87" s="13">
        <f t="shared" si="4"/>
        <v>15</v>
      </c>
      <c r="G87" s="14">
        <f>IFERROR(INDEX('4. Master Ingredient Inventory'!$I$2:$I$109,MATCH($C87,'4. Master Ingredient Inventory'!$B$2:$B$109,0)),0)</f>
        <v>0.09</v>
      </c>
      <c r="H87" s="15">
        <f t="shared" si="5"/>
        <v>1.3499999999999999</v>
      </c>
      <c r="I87" s="13">
        <f t="shared" si="6"/>
        <v>15</v>
      </c>
      <c r="J87" s="15">
        <f t="shared" si="7"/>
        <v>1.3499999999999999</v>
      </c>
    </row>
    <row r="88" spans="1:10" ht="15" customHeight="1" x14ac:dyDescent="0.25">
      <c r="A88" s="13" t="s">
        <v>14</v>
      </c>
      <c r="B88" s="13" t="s">
        <v>8</v>
      </c>
      <c r="C88" s="13" t="s">
        <v>243</v>
      </c>
      <c r="D88" s="13">
        <v>9</v>
      </c>
      <c r="E88" s="13" t="s">
        <v>174</v>
      </c>
      <c r="F88" s="13">
        <f t="shared" si="4"/>
        <v>9</v>
      </c>
      <c r="G88" s="14">
        <f>IFERROR(INDEX('4. Master Ingredient Inventory'!$I$2:$I$109,MATCH($C88,'4. Master Ingredient Inventory'!$B$2:$B$109,0)),0)</f>
        <v>0.48</v>
      </c>
      <c r="H88" s="15">
        <f t="shared" si="5"/>
        <v>4.32</v>
      </c>
      <c r="I88" s="13">
        <f t="shared" si="6"/>
        <v>9</v>
      </c>
      <c r="J88" s="15">
        <f t="shared" si="7"/>
        <v>4.32</v>
      </c>
    </row>
    <row r="89" spans="1:10" ht="15" customHeight="1" x14ac:dyDescent="0.25">
      <c r="A89" s="13" t="s">
        <v>14</v>
      </c>
      <c r="B89" s="13" t="s">
        <v>8</v>
      </c>
      <c r="C89" s="13" t="s">
        <v>392</v>
      </c>
      <c r="D89" s="13">
        <v>3</v>
      </c>
      <c r="E89" s="13" t="s">
        <v>174</v>
      </c>
      <c r="F89" s="13">
        <f t="shared" si="4"/>
        <v>3</v>
      </c>
      <c r="G89" s="14">
        <f>IFERROR(INDEX('4. Master Ingredient Inventory'!$I$2:$I$109,MATCH($C89,'4. Master Ingredient Inventory'!$B$2:$B$109,0)),0)</f>
        <v>0.18</v>
      </c>
      <c r="H89" s="15">
        <f t="shared" si="5"/>
        <v>0.54</v>
      </c>
      <c r="I89" s="13">
        <f t="shared" si="6"/>
        <v>3</v>
      </c>
      <c r="J89" s="15">
        <f t="shared" si="7"/>
        <v>0.54</v>
      </c>
    </row>
    <row r="90" spans="1:10" ht="15" customHeight="1" x14ac:dyDescent="0.25">
      <c r="A90" s="13" t="s">
        <v>14</v>
      </c>
      <c r="B90" s="13" t="s">
        <v>8</v>
      </c>
      <c r="C90" s="13" t="s">
        <v>536</v>
      </c>
      <c r="D90" s="13">
        <v>9</v>
      </c>
      <c r="E90" s="13" t="s">
        <v>174</v>
      </c>
      <c r="F90" s="13">
        <f t="shared" si="4"/>
        <v>9</v>
      </c>
      <c r="G90" s="14">
        <f>IFERROR(INDEX('4. Master Ingredient Inventory'!$I$2:$I$109,MATCH($C90,'4. Master Ingredient Inventory'!$B$2:$B$109,0)),0)</f>
        <v>0.85</v>
      </c>
      <c r="H90" s="15">
        <f t="shared" si="5"/>
        <v>7.6499999999999995</v>
      </c>
      <c r="I90" s="13">
        <f t="shared" si="6"/>
        <v>9</v>
      </c>
      <c r="J90" s="15">
        <f t="shared" si="7"/>
        <v>7.6499999999999995</v>
      </c>
    </row>
    <row r="91" spans="1:10" ht="15" customHeight="1" x14ac:dyDescent="0.25">
      <c r="A91" s="13" t="s">
        <v>14</v>
      </c>
      <c r="B91" s="13" t="s">
        <v>8</v>
      </c>
      <c r="C91" s="13" t="s">
        <v>542</v>
      </c>
      <c r="D91" s="13">
        <v>1</v>
      </c>
      <c r="E91" s="13" t="s">
        <v>174</v>
      </c>
      <c r="F91" s="13">
        <f t="shared" si="4"/>
        <v>1</v>
      </c>
      <c r="G91" s="14">
        <f>IFERROR(INDEX('4. Master Ingredient Inventory'!$I$2:$I$109,MATCH($C91,'4. Master Ingredient Inventory'!$B$2:$B$109,0)),0)</f>
        <v>0.83333333333333337</v>
      </c>
      <c r="H91" s="15">
        <f t="shared" si="5"/>
        <v>0.83333333333333337</v>
      </c>
      <c r="I91" s="13">
        <f t="shared" si="6"/>
        <v>1</v>
      </c>
      <c r="J91" s="15">
        <f t="shared" si="7"/>
        <v>0.83333333333333337</v>
      </c>
    </row>
    <row r="92" spans="1:10" ht="15" customHeight="1" x14ac:dyDescent="0.25">
      <c r="A92" s="13" t="s">
        <v>14</v>
      </c>
      <c r="B92" s="13" t="s">
        <v>8</v>
      </c>
      <c r="C92" s="13" t="s">
        <v>210</v>
      </c>
      <c r="D92" s="13">
        <v>0.5</v>
      </c>
      <c r="E92" s="13" t="s">
        <v>174</v>
      </c>
      <c r="F92" s="13">
        <f t="shared" si="4"/>
        <v>0.5</v>
      </c>
      <c r="G92" s="14">
        <f>IFERROR(INDEX('4. Master Ingredient Inventory'!$I$2:$I$109,MATCH($C92,'4. Master Ingredient Inventory'!$B$2:$B$109,0)),0)</f>
        <v>0.65</v>
      </c>
      <c r="H92" s="15">
        <f t="shared" si="5"/>
        <v>0.32500000000000001</v>
      </c>
      <c r="I92" s="13">
        <f t="shared" si="6"/>
        <v>0.5</v>
      </c>
      <c r="J92" s="15">
        <f t="shared" si="7"/>
        <v>0.32500000000000001</v>
      </c>
    </row>
    <row r="93" spans="1:10" ht="15" customHeight="1" x14ac:dyDescent="0.25">
      <c r="A93" s="13" t="s">
        <v>15</v>
      </c>
      <c r="B93" s="13" t="s">
        <v>8</v>
      </c>
      <c r="C93" s="13" t="s">
        <v>293</v>
      </c>
      <c r="D93" s="13">
        <v>3</v>
      </c>
      <c r="E93" s="13" t="s">
        <v>222</v>
      </c>
      <c r="F93" s="13">
        <f t="shared" si="4"/>
        <v>3</v>
      </c>
      <c r="G93" s="14">
        <f>IFERROR(INDEX('4. Master Ingredient Inventory'!$I$2:$I$109,MATCH($C93,'4. Master Ingredient Inventory'!$B$2:$B$109,0)),0)</f>
        <v>13.77</v>
      </c>
      <c r="H93" s="15">
        <f t="shared" si="5"/>
        <v>41.31</v>
      </c>
      <c r="I93" s="13">
        <f t="shared" si="6"/>
        <v>3</v>
      </c>
      <c r="J93" s="15">
        <f t="shared" si="7"/>
        <v>41.31</v>
      </c>
    </row>
    <row r="94" spans="1:10" ht="15" customHeight="1" x14ac:dyDescent="0.25">
      <c r="A94" s="13" t="s">
        <v>15</v>
      </c>
      <c r="B94" s="13" t="s">
        <v>8</v>
      </c>
      <c r="C94" s="13" t="s">
        <v>170</v>
      </c>
      <c r="D94" s="13">
        <v>22.5</v>
      </c>
      <c r="E94" s="13" t="s">
        <v>174</v>
      </c>
      <c r="F94" s="13">
        <f t="shared" si="4"/>
        <v>22.5</v>
      </c>
      <c r="G94" s="14">
        <f>IFERROR(INDEX('4. Master Ingredient Inventory'!$I$2:$I$109,MATCH($C94,'4. Master Ingredient Inventory'!$B$2:$B$109,0)),0)</f>
        <v>5.8000000000000003E-2</v>
      </c>
      <c r="H94" s="15">
        <f t="shared" si="5"/>
        <v>1.3050000000000002</v>
      </c>
      <c r="I94" s="13">
        <f t="shared" si="6"/>
        <v>22.5</v>
      </c>
      <c r="J94" s="15">
        <f t="shared" si="7"/>
        <v>1.3050000000000002</v>
      </c>
    </row>
    <row r="95" spans="1:10" ht="15" customHeight="1" x14ac:dyDescent="0.25">
      <c r="A95" s="13" t="s">
        <v>15</v>
      </c>
      <c r="B95" s="13" t="s">
        <v>8</v>
      </c>
      <c r="C95" s="13" t="s">
        <v>333</v>
      </c>
      <c r="D95" s="13">
        <v>15</v>
      </c>
      <c r="E95" s="13" t="s">
        <v>174</v>
      </c>
      <c r="F95" s="13">
        <f t="shared" si="4"/>
        <v>15</v>
      </c>
      <c r="G95" s="14">
        <f>IFERROR(INDEX('4. Master Ingredient Inventory'!$I$2:$I$109,MATCH($C95,'4. Master Ingredient Inventory'!$B$2:$B$109,0)),0)</f>
        <v>7.4999999999999997E-2</v>
      </c>
      <c r="H95" s="15">
        <f t="shared" si="5"/>
        <v>1.125</v>
      </c>
      <c r="I95" s="13">
        <f t="shared" si="6"/>
        <v>15</v>
      </c>
      <c r="J95" s="15">
        <f t="shared" si="7"/>
        <v>1.125</v>
      </c>
    </row>
    <row r="96" spans="1:10" ht="15" customHeight="1" x14ac:dyDescent="0.25">
      <c r="A96" s="13" t="s">
        <v>15</v>
      </c>
      <c r="B96" s="13" t="s">
        <v>8</v>
      </c>
      <c r="C96" s="13" t="s">
        <v>188</v>
      </c>
      <c r="D96" s="13">
        <v>1</v>
      </c>
      <c r="E96" s="13" t="s">
        <v>174</v>
      </c>
      <c r="F96" s="13">
        <f t="shared" si="4"/>
        <v>1</v>
      </c>
      <c r="G96" s="14">
        <f>IFERROR(INDEX('4. Master Ingredient Inventory'!$I$2:$I$109,MATCH($C96,'4. Master Ingredient Inventory'!$B$2:$B$109,0)),0)</f>
        <v>0.14000000000000001</v>
      </c>
      <c r="H96" s="15">
        <f t="shared" si="5"/>
        <v>0.14000000000000001</v>
      </c>
      <c r="I96" s="13">
        <f t="shared" si="6"/>
        <v>1</v>
      </c>
      <c r="J96" s="15">
        <f t="shared" si="7"/>
        <v>0.14000000000000001</v>
      </c>
    </row>
    <row r="97" spans="1:10" ht="15" customHeight="1" x14ac:dyDescent="0.25">
      <c r="A97" s="13" t="s">
        <v>15</v>
      </c>
      <c r="B97" s="13" t="s">
        <v>8</v>
      </c>
      <c r="C97" s="13" t="s">
        <v>598</v>
      </c>
      <c r="D97" s="13">
        <v>1</v>
      </c>
      <c r="E97" s="13" t="s">
        <v>174</v>
      </c>
      <c r="F97" s="13">
        <f t="shared" si="4"/>
        <v>1</v>
      </c>
      <c r="G97" s="14">
        <f>IFERROR(INDEX('4. Master Ingredient Inventory'!$I$2:$I$109,MATCH($C97,'4. Master Ingredient Inventory'!$B$2:$B$109,0)),0)</f>
        <v>0.03</v>
      </c>
      <c r="H97" s="15">
        <f t="shared" si="5"/>
        <v>0.03</v>
      </c>
      <c r="I97" s="13">
        <f t="shared" si="6"/>
        <v>1</v>
      </c>
      <c r="J97" s="15">
        <f t="shared" si="7"/>
        <v>0.03</v>
      </c>
    </row>
    <row r="98" spans="1:10" ht="15" customHeight="1" x14ac:dyDescent="0.25">
      <c r="A98" s="13" t="s">
        <v>15</v>
      </c>
      <c r="B98" s="13" t="s">
        <v>8</v>
      </c>
      <c r="C98" s="13" t="s">
        <v>210</v>
      </c>
      <c r="D98" s="13">
        <v>0.5</v>
      </c>
      <c r="E98" s="13" t="s">
        <v>174</v>
      </c>
      <c r="F98" s="13">
        <f t="shared" si="4"/>
        <v>0.5</v>
      </c>
      <c r="G98" s="14">
        <f>IFERROR(INDEX('4. Master Ingredient Inventory'!$I$2:$I$109,MATCH($C98,'4. Master Ingredient Inventory'!$B$2:$B$109,0)),0)</f>
        <v>0.65</v>
      </c>
      <c r="H98" s="15">
        <f t="shared" si="5"/>
        <v>0.32500000000000001</v>
      </c>
      <c r="I98" s="13">
        <f t="shared" si="6"/>
        <v>0.5</v>
      </c>
      <c r="J98" s="15">
        <f t="shared" si="7"/>
        <v>0.32500000000000001</v>
      </c>
    </row>
    <row r="99" spans="1:10" ht="15" customHeight="1" x14ac:dyDescent="0.25">
      <c r="A99" s="13" t="s">
        <v>15</v>
      </c>
      <c r="B99" s="13" t="s">
        <v>8</v>
      </c>
      <c r="C99" s="13" t="s">
        <v>396</v>
      </c>
      <c r="D99" s="13">
        <v>0.5</v>
      </c>
      <c r="E99" s="13" t="s">
        <v>174</v>
      </c>
      <c r="F99" s="13">
        <f t="shared" si="4"/>
        <v>0.5</v>
      </c>
      <c r="G99" s="14">
        <f>IFERROR(INDEX('4. Master Ingredient Inventory'!$I$2:$I$109,MATCH($C99,'4. Master Ingredient Inventory'!$B$2:$B$109,0)),0)</f>
        <v>0.28000000000000003</v>
      </c>
      <c r="H99" s="15">
        <f t="shared" si="5"/>
        <v>0.14000000000000001</v>
      </c>
      <c r="I99" s="13">
        <f t="shared" si="6"/>
        <v>0.5</v>
      </c>
      <c r="J99" s="15">
        <f t="shared" si="7"/>
        <v>0.14000000000000001</v>
      </c>
    </row>
    <row r="100" spans="1:10" ht="15" customHeight="1" x14ac:dyDescent="0.25">
      <c r="A100" s="13" t="s">
        <v>15</v>
      </c>
      <c r="B100" s="13" t="s">
        <v>8</v>
      </c>
      <c r="C100" s="13" t="s">
        <v>323</v>
      </c>
      <c r="D100" s="13">
        <f>3*$T$1</f>
        <v>15</v>
      </c>
      <c r="E100" s="13" t="s">
        <v>163</v>
      </c>
      <c r="F100" s="13">
        <f t="shared" si="4"/>
        <v>15</v>
      </c>
      <c r="G100" s="14">
        <f>IFERROR(INDEX('4. Master Ingredient Inventory'!$I$2:$I$109,MATCH($C100,'4. Master Ingredient Inventory'!$B$2:$B$109,0)),0)</f>
        <v>0.09</v>
      </c>
      <c r="H100" s="15">
        <f t="shared" si="5"/>
        <v>1.3499999999999999</v>
      </c>
      <c r="I100" s="13">
        <f t="shared" si="6"/>
        <v>15</v>
      </c>
      <c r="J100" s="15">
        <f t="shared" si="7"/>
        <v>1.3499999999999999</v>
      </c>
    </row>
    <row r="101" spans="1:10" ht="15" customHeight="1" x14ac:dyDescent="0.25">
      <c r="A101" s="13" t="s">
        <v>15</v>
      </c>
      <c r="B101" s="13" t="s">
        <v>8</v>
      </c>
      <c r="C101" s="13" t="s">
        <v>618</v>
      </c>
      <c r="D101" s="13">
        <v>12.5</v>
      </c>
      <c r="E101" s="13" t="s">
        <v>163</v>
      </c>
      <c r="F101" s="13">
        <f t="shared" si="4"/>
        <v>12.5</v>
      </c>
      <c r="G101" s="14">
        <f>IFERROR(INDEX('4. Master Ingredient Inventory'!$I$2:$I$109,MATCH($C101,'4. Master Ingredient Inventory'!$B$2:$B$109,0)),0)</f>
        <v>6.5000000000000002E-2</v>
      </c>
      <c r="H101" s="15">
        <f t="shared" si="5"/>
        <v>0.8125</v>
      </c>
      <c r="I101" s="13">
        <f t="shared" si="6"/>
        <v>12.5</v>
      </c>
      <c r="J101" s="15">
        <f t="shared" si="7"/>
        <v>0.8125</v>
      </c>
    </row>
    <row r="102" spans="1:10" ht="15" customHeight="1" x14ac:dyDescent="0.25">
      <c r="A102" s="13" t="s">
        <v>15</v>
      </c>
      <c r="B102" s="13" t="s">
        <v>8</v>
      </c>
      <c r="C102" s="13" t="s">
        <v>422</v>
      </c>
      <c r="D102" s="13">
        <v>6</v>
      </c>
      <c r="E102" s="13" t="s">
        <v>174</v>
      </c>
      <c r="F102" s="13">
        <f t="shared" si="4"/>
        <v>6</v>
      </c>
      <c r="G102" s="14">
        <f>IFERROR(INDEX('4. Master Ingredient Inventory'!$I$2:$I$109,MATCH($C102,'4. Master Ingredient Inventory'!$B$2:$B$109,0)),0)</f>
        <v>0.32</v>
      </c>
      <c r="H102" s="15">
        <f t="shared" si="5"/>
        <v>1.92</v>
      </c>
      <c r="I102" s="13">
        <f t="shared" si="6"/>
        <v>6</v>
      </c>
      <c r="J102" s="15">
        <f t="shared" si="7"/>
        <v>1.92</v>
      </c>
    </row>
    <row r="103" spans="1:10" ht="15" customHeight="1" x14ac:dyDescent="0.25">
      <c r="A103" s="13" t="s">
        <v>15</v>
      </c>
      <c r="B103" s="13" t="s">
        <v>8</v>
      </c>
      <c r="C103" s="13" t="s">
        <v>238</v>
      </c>
      <c r="D103" s="13">
        <v>3</v>
      </c>
      <c r="E103" s="13" t="s">
        <v>174</v>
      </c>
      <c r="F103" s="13">
        <f t="shared" si="4"/>
        <v>3</v>
      </c>
      <c r="G103" s="14">
        <f>IFERROR(INDEX('4. Master Ingredient Inventory'!$I$2:$I$109,MATCH($C103,'4. Master Ingredient Inventory'!$B$2:$B$109,0)),0)</f>
        <v>8.2000000000000003E-2</v>
      </c>
      <c r="H103" s="15">
        <f t="shared" si="5"/>
        <v>0.246</v>
      </c>
      <c r="I103" s="13">
        <f t="shared" si="6"/>
        <v>3</v>
      </c>
      <c r="J103" s="15">
        <f t="shared" si="7"/>
        <v>0.246</v>
      </c>
    </row>
    <row r="104" spans="1:10" ht="15" customHeight="1" x14ac:dyDescent="0.25">
      <c r="A104" s="13" t="s">
        <v>15</v>
      </c>
      <c r="B104" s="13" t="s">
        <v>8</v>
      </c>
      <c r="C104" s="13" t="s">
        <v>392</v>
      </c>
      <c r="D104" s="13">
        <v>3</v>
      </c>
      <c r="E104" s="13" t="s">
        <v>174</v>
      </c>
      <c r="F104" s="13">
        <f t="shared" si="4"/>
        <v>3</v>
      </c>
      <c r="G104" s="14">
        <f>IFERROR(INDEX('4. Master Ingredient Inventory'!$I$2:$I$109,MATCH($C104,'4. Master Ingredient Inventory'!$B$2:$B$109,0)),0)</f>
        <v>0.18</v>
      </c>
      <c r="H104" s="15">
        <f t="shared" si="5"/>
        <v>0.54</v>
      </c>
      <c r="I104" s="13">
        <f t="shared" si="6"/>
        <v>3</v>
      </c>
      <c r="J104" s="15">
        <f t="shared" si="7"/>
        <v>0.54</v>
      </c>
    </row>
    <row r="105" spans="1:10" ht="15" customHeight="1" x14ac:dyDescent="0.25">
      <c r="A105" s="13" t="s">
        <v>15</v>
      </c>
      <c r="B105" s="13" t="s">
        <v>8</v>
      </c>
      <c r="C105" s="13" t="s">
        <v>402</v>
      </c>
      <c r="D105" s="13">
        <v>1.5</v>
      </c>
      <c r="E105" s="13" t="s">
        <v>174</v>
      </c>
      <c r="F105" s="13">
        <f t="shared" si="4"/>
        <v>1.5</v>
      </c>
      <c r="G105" s="14">
        <f>IFERROR(INDEX('4. Master Ingredient Inventory'!$I$2:$I$109,MATCH($C105,'4. Master Ingredient Inventory'!$B$2:$B$109,0)),0)</f>
        <v>0.14000000000000001</v>
      </c>
      <c r="H105" s="15">
        <f t="shared" si="5"/>
        <v>0.21000000000000002</v>
      </c>
      <c r="I105" s="13">
        <f t="shared" si="6"/>
        <v>1.5</v>
      </c>
      <c r="J105" s="15">
        <f t="shared" si="7"/>
        <v>0.21000000000000002</v>
      </c>
    </row>
    <row r="106" spans="1:10" ht="15" customHeight="1" x14ac:dyDescent="0.25">
      <c r="A106" s="13" t="s">
        <v>15</v>
      </c>
      <c r="B106" s="13" t="s">
        <v>8</v>
      </c>
      <c r="C106" s="13" t="s">
        <v>491</v>
      </c>
      <c r="D106" s="13">
        <v>7.5</v>
      </c>
      <c r="E106" s="13" t="s">
        <v>163</v>
      </c>
      <c r="F106" s="13">
        <f t="shared" si="4"/>
        <v>7.5</v>
      </c>
      <c r="G106" s="14">
        <f>IFERROR(INDEX('4. Master Ingredient Inventory'!$I$2:$I$109,MATCH($C106,'4. Master Ingredient Inventory'!$B$2:$B$109,0)),0)</f>
        <v>0.25</v>
      </c>
      <c r="H106" s="15">
        <f t="shared" si="5"/>
        <v>1.875</v>
      </c>
      <c r="I106" s="13">
        <f t="shared" si="6"/>
        <v>7.5</v>
      </c>
      <c r="J106" s="15">
        <f t="shared" si="7"/>
        <v>1.875</v>
      </c>
    </row>
    <row r="107" spans="1:10" ht="15" customHeight="1" x14ac:dyDescent="0.25">
      <c r="A107" s="13" t="s">
        <v>15</v>
      </c>
      <c r="B107" s="13" t="s">
        <v>8</v>
      </c>
      <c r="C107" s="13" t="s">
        <v>608</v>
      </c>
      <c r="D107" s="13">
        <v>1.5</v>
      </c>
      <c r="E107" s="13" t="s">
        <v>163</v>
      </c>
      <c r="F107" s="13">
        <f t="shared" si="4"/>
        <v>1.5</v>
      </c>
      <c r="G107" s="14">
        <f>IFERROR(INDEX('4. Master Ingredient Inventory'!$I$2:$I$109,MATCH($C107,'4. Master Ingredient Inventory'!$B$2:$B$109,0)),0)</f>
        <v>0.72</v>
      </c>
      <c r="H107" s="15">
        <f t="shared" si="5"/>
        <v>1.08</v>
      </c>
      <c r="I107" s="13">
        <f t="shared" si="6"/>
        <v>1.5</v>
      </c>
      <c r="J107" s="15">
        <f t="shared" si="7"/>
        <v>1.08</v>
      </c>
    </row>
    <row r="108" spans="1:10" ht="15" customHeight="1" x14ac:dyDescent="0.25">
      <c r="A108" s="13" t="s">
        <v>15</v>
      </c>
      <c r="B108" s="13" t="s">
        <v>8</v>
      </c>
      <c r="C108" s="13" t="s">
        <v>613</v>
      </c>
      <c r="D108" s="13">
        <v>1</v>
      </c>
      <c r="E108" s="13" t="s">
        <v>174</v>
      </c>
      <c r="F108" s="13">
        <f t="shared" si="4"/>
        <v>1</v>
      </c>
      <c r="G108" s="14">
        <f>IFERROR(INDEX('4. Master Ingredient Inventory'!$I$2:$I$109,MATCH($C108,'4. Master Ingredient Inventory'!$B$2:$B$109,0)),0)</f>
        <v>0.32</v>
      </c>
      <c r="H108" s="15">
        <f t="shared" si="5"/>
        <v>0.32</v>
      </c>
      <c r="I108" s="13">
        <f t="shared" si="6"/>
        <v>1</v>
      </c>
      <c r="J108" s="15">
        <f t="shared" si="7"/>
        <v>0.32</v>
      </c>
    </row>
    <row r="109" spans="1:10" ht="15" customHeight="1" x14ac:dyDescent="0.25">
      <c r="A109" s="13" t="s">
        <v>16</v>
      </c>
      <c r="B109" s="13" t="s">
        <v>8</v>
      </c>
      <c r="C109" s="13" t="s">
        <v>293</v>
      </c>
      <c r="D109" s="13">
        <v>3</v>
      </c>
      <c r="E109" s="13" t="s">
        <v>222</v>
      </c>
      <c r="F109" s="13">
        <f t="shared" si="4"/>
        <v>3</v>
      </c>
      <c r="G109" s="14">
        <f>IFERROR(INDEX('4. Master Ingredient Inventory'!$I$2:$I$109,MATCH($C109,'4. Master Ingredient Inventory'!$B$2:$B$109,0)),0)</f>
        <v>13.77</v>
      </c>
      <c r="H109" s="15">
        <f t="shared" si="5"/>
        <v>41.31</v>
      </c>
      <c r="I109" s="13">
        <f t="shared" si="6"/>
        <v>3</v>
      </c>
      <c r="J109" s="15">
        <f t="shared" si="7"/>
        <v>41.31</v>
      </c>
    </row>
    <row r="110" spans="1:10" ht="15" customHeight="1" x14ac:dyDescent="0.25">
      <c r="A110" s="13" t="s">
        <v>16</v>
      </c>
      <c r="B110" s="13" t="s">
        <v>8</v>
      </c>
      <c r="C110" s="13" t="s">
        <v>170</v>
      </c>
      <c r="D110" s="13">
        <v>22.5</v>
      </c>
      <c r="E110" s="13" t="s">
        <v>174</v>
      </c>
      <c r="F110" s="13">
        <f t="shared" si="4"/>
        <v>22.5</v>
      </c>
      <c r="G110" s="14">
        <f>IFERROR(INDEX('4. Master Ingredient Inventory'!$I$2:$I$109,MATCH($C110,'4. Master Ingredient Inventory'!$B$2:$B$109,0)),0)</f>
        <v>5.8000000000000003E-2</v>
      </c>
      <c r="H110" s="15">
        <f t="shared" si="5"/>
        <v>1.3050000000000002</v>
      </c>
      <c r="I110" s="13">
        <f t="shared" si="6"/>
        <v>22.5</v>
      </c>
      <c r="J110" s="15">
        <f t="shared" si="7"/>
        <v>1.3050000000000002</v>
      </c>
    </row>
    <row r="111" spans="1:10" ht="15" customHeight="1" x14ac:dyDescent="0.25">
      <c r="A111" s="13" t="s">
        <v>16</v>
      </c>
      <c r="B111" s="13" t="s">
        <v>8</v>
      </c>
      <c r="C111" s="13" t="s">
        <v>333</v>
      </c>
      <c r="D111" s="13">
        <v>15</v>
      </c>
      <c r="E111" s="13" t="s">
        <v>174</v>
      </c>
      <c r="F111" s="13">
        <f t="shared" si="4"/>
        <v>15</v>
      </c>
      <c r="G111" s="14">
        <f>IFERROR(INDEX('4. Master Ingredient Inventory'!$I$2:$I$109,MATCH($C111,'4. Master Ingredient Inventory'!$B$2:$B$109,0)),0)</f>
        <v>7.4999999999999997E-2</v>
      </c>
      <c r="H111" s="15">
        <f t="shared" si="5"/>
        <v>1.125</v>
      </c>
      <c r="I111" s="13">
        <f t="shared" si="6"/>
        <v>15</v>
      </c>
      <c r="J111" s="15">
        <f t="shared" si="7"/>
        <v>1.125</v>
      </c>
    </row>
    <row r="112" spans="1:10" ht="15" customHeight="1" x14ac:dyDescent="0.25">
      <c r="A112" s="13" t="s">
        <v>16</v>
      </c>
      <c r="B112" s="13" t="s">
        <v>8</v>
      </c>
      <c r="C112" s="13" t="s">
        <v>188</v>
      </c>
      <c r="D112" s="13">
        <v>1</v>
      </c>
      <c r="E112" s="13" t="s">
        <v>174</v>
      </c>
      <c r="F112" s="13">
        <f t="shared" si="4"/>
        <v>1</v>
      </c>
      <c r="G112" s="14">
        <f>IFERROR(INDEX('4. Master Ingredient Inventory'!$I$2:$I$109,MATCH($C112,'4. Master Ingredient Inventory'!$B$2:$B$109,0)),0)</f>
        <v>0.14000000000000001</v>
      </c>
      <c r="H112" s="15">
        <f t="shared" si="5"/>
        <v>0.14000000000000001</v>
      </c>
      <c r="I112" s="13">
        <f t="shared" si="6"/>
        <v>1</v>
      </c>
      <c r="J112" s="15">
        <f t="shared" si="7"/>
        <v>0.14000000000000001</v>
      </c>
    </row>
    <row r="113" spans="1:10" ht="15" customHeight="1" x14ac:dyDescent="0.25">
      <c r="A113" s="13" t="s">
        <v>16</v>
      </c>
      <c r="B113" s="13" t="s">
        <v>8</v>
      </c>
      <c r="C113" s="13" t="s">
        <v>598</v>
      </c>
      <c r="D113" s="13">
        <v>1</v>
      </c>
      <c r="E113" s="13" t="s">
        <v>174</v>
      </c>
      <c r="F113" s="13">
        <f t="shared" si="4"/>
        <v>1</v>
      </c>
      <c r="G113" s="14">
        <f>IFERROR(INDEX('4. Master Ingredient Inventory'!$I$2:$I$109,MATCH($C113,'4. Master Ingredient Inventory'!$B$2:$B$109,0)),0)</f>
        <v>0.03</v>
      </c>
      <c r="H113" s="15">
        <f t="shared" si="5"/>
        <v>0.03</v>
      </c>
      <c r="I113" s="13">
        <f t="shared" si="6"/>
        <v>1</v>
      </c>
      <c r="J113" s="15">
        <f t="shared" si="7"/>
        <v>0.03</v>
      </c>
    </row>
    <row r="114" spans="1:10" ht="15" customHeight="1" x14ac:dyDescent="0.25">
      <c r="A114" s="13" t="s">
        <v>16</v>
      </c>
      <c r="B114" s="13" t="s">
        <v>8</v>
      </c>
      <c r="C114" s="13" t="s">
        <v>210</v>
      </c>
      <c r="D114" s="13">
        <v>0.5</v>
      </c>
      <c r="E114" s="13" t="s">
        <v>174</v>
      </c>
      <c r="F114" s="13">
        <f t="shared" si="4"/>
        <v>0.5</v>
      </c>
      <c r="G114" s="14">
        <f>IFERROR(INDEX('4. Master Ingredient Inventory'!$I$2:$I$109,MATCH($C114,'4. Master Ingredient Inventory'!$B$2:$B$109,0)),0)</f>
        <v>0.65</v>
      </c>
      <c r="H114" s="15">
        <f t="shared" si="5"/>
        <v>0.32500000000000001</v>
      </c>
      <c r="I114" s="13">
        <f t="shared" si="6"/>
        <v>0.5</v>
      </c>
      <c r="J114" s="15">
        <f t="shared" si="7"/>
        <v>0.32500000000000001</v>
      </c>
    </row>
    <row r="115" spans="1:10" ht="15" customHeight="1" x14ac:dyDescent="0.25">
      <c r="A115" s="13" t="s">
        <v>16</v>
      </c>
      <c r="B115" s="13" t="s">
        <v>8</v>
      </c>
      <c r="C115" s="13" t="s">
        <v>396</v>
      </c>
      <c r="D115" s="13">
        <v>0.5</v>
      </c>
      <c r="E115" s="13" t="s">
        <v>174</v>
      </c>
      <c r="F115" s="13">
        <f t="shared" si="4"/>
        <v>0.5</v>
      </c>
      <c r="G115" s="14">
        <f>IFERROR(INDEX('4. Master Ingredient Inventory'!$I$2:$I$109,MATCH($C115,'4. Master Ingredient Inventory'!$B$2:$B$109,0)),0)</f>
        <v>0.28000000000000003</v>
      </c>
      <c r="H115" s="15">
        <f t="shared" si="5"/>
        <v>0.14000000000000001</v>
      </c>
      <c r="I115" s="13">
        <f t="shared" si="6"/>
        <v>0.5</v>
      </c>
      <c r="J115" s="15">
        <f t="shared" si="7"/>
        <v>0.14000000000000001</v>
      </c>
    </row>
    <row r="116" spans="1:10" ht="15" customHeight="1" x14ac:dyDescent="0.25">
      <c r="A116" s="13" t="s">
        <v>16</v>
      </c>
      <c r="B116" s="13" t="s">
        <v>8</v>
      </c>
      <c r="C116" s="13" t="s">
        <v>323</v>
      </c>
      <c r="D116" s="13">
        <f>3*$T$1</f>
        <v>15</v>
      </c>
      <c r="E116" s="13" t="s">
        <v>163</v>
      </c>
      <c r="F116" s="13">
        <f t="shared" si="4"/>
        <v>15</v>
      </c>
      <c r="G116" s="14">
        <f>IFERROR(INDEX('4. Master Ingredient Inventory'!$I$2:$I$109,MATCH($C116,'4. Master Ingredient Inventory'!$B$2:$B$109,0)),0)</f>
        <v>0.09</v>
      </c>
      <c r="H116" s="15">
        <f t="shared" si="5"/>
        <v>1.3499999999999999</v>
      </c>
      <c r="I116" s="13">
        <f t="shared" si="6"/>
        <v>15</v>
      </c>
      <c r="J116" s="15">
        <f t="shared" si="7"/>
        <v>1.3499999999999999</v>
      </c>
    </row>
    <row r="117" spans="1:10" ht="15" customHeight="1" x14ac:dyDescent="0.25">
      <c r="A117" s="13" t="s">
        <v>16</v>
      </c>
      <c r="B117" s="13" t="s">
        <v>8</v>
      </c>
      <c r="C117" s="13" t="s">
        <v>618</v>
      </c>
      <c r="D117" s="13">
        <v>12.5</v>
      </c>
      <c r="E117" s="13" t="s">
        <v>163</v>
      </c>
      <c r="F117" s="13">
        <f t="shared" si="4"/>
        <v>12.5</v>
      </c>
      <c r="G117" s="14">
        <f>IFERROR(INDEX('4. Master Ingredient Inventory'!$I$2:$I$109,MATCH($C117,'4. Master Ingredient Inventory'!$B$2:$B$109,0)),0)</f>
        <v>6.5000000000000002E-2</v>
      </c>
      <c r="H117" s="15">
        <f t="shared" si="5"/>
        <v>0.8125</v>
      </c>
      <c r="I117" s="13">
        <f t="shared" si="6"/>
        <v>12.5</v>
      </c>
      <c r="J117" s="15">
        <f t="shared" si="7"/>
        <v>0.8125</v>
      </c>
    </row>
    <row r="118" spans="1:10" ht="15" customHeight="1" x14ac:dyDescent="0.25">
      <c r="A118" s="13" t="s">
        <v>16</v>
      </c>
      <c r="B118" s="13" t="s">
        <v>8</v>
      </c>
      <c r="C118" s="13" t="s">
        <v>491</v>
      </c>
      <c r="D118" s="13">
        <v>7.5</v>
      </c>
      <c r="E118" s="13" t="s">
        <v>163</v>
      </c>
      <c r="F118" s="13">
        <f t="shared" si="4"/>
        <v>7.5</v>
      </c>
      <c r="G118" s="14">
        <f>IFERROR(INDEX('4. Master Ingredient Inventory'!$I$2:$I$109,MATCH($C118,'4. Master Ingredient Inventory'!$B$2:$B$109,0)),0)</f>
        <v>0.25</v>
      </c>
      <c r="H118" s="15">
        <f t="shared" si="5"/>
        <v>1.875</v>
      </c>
      <c r="I118" s="13">
        <f t="shared" si="6"/>
        <v>7.5</v>
      </c>
      <c r="J118" s="15">
        <f t="shared" si="7"/>
        <v>1.875</v>
      </c>
    </row>
    <row r="119" spans="1:10" ht="15" customHeight="1" x14ac:dyDescent="0.25">
      <c r="A119" s="13" t="s">
        <v>16</v>
      </c>
      <c r="B119" s="13" t="s">
        <v>8</v>
      </c>
      <c r="C119" s="13" t="s">
        <v>238</v>
      </c>
      <c r="D119" s="13">
        <v>6</v>
      </c>
      <c r="E119" s="13" t="s">
        <v>174</v>
      </c>
      <c r="F119" s="13">
        <f t="shared" si="4"/>
        <v>6</v>
      </c>
      <c r="G119" s="14">
        <f>IFERROR(INDEX('4. Master Ingredient Inventory'!$I$2:$I$109,MATCH($C119,'4. Master Ingredient Inventory'!$B$2:$B$109,0)),0)</f>
        <v>8.2000000000000003E-2</v>
      </c>
      <c r="H119" s="15">
        <f t="shared" si="5"/>
        <v>0.49199999999999999</v>
      </c>
      <c r="I119" s="13">
        <f t="shared" si="6"/>
        <v>6</v>
      </c>
      <c r="J119" s="15">
        <f t="shared" si="7"/>
        <v>0.49199999999999999</v>
      </c>
    </row>
    <row r="120" spans="1:10" ht="15" customHeight="1" x14ac:dyDescent="0.25">
      <c r="A120" s="13" t="s">
        <v>16</v>
      </c>
      <c r="B120" s="13" t="s">
        <v>8</v>
      </c>
      <c r="C120" s="13" t="s">
        <v>402</v>
      </c>
      <c r="D120" s="13">
        <v>1</v>
      </c>
      <c r="E120" s="13" t="s">
        <v>174</v>
      </c>
      <c r="F120" s="13">
        <f t="shared" si="4"/>
        <v>1</v>
      </c>
      <c r="G120" s="14">
        <f>IFERROR(INDEX('4. Master Ingredient Inventory'!$I$2:$I$109,MATCH($C120,'4. Master Ingredient Inventory'!$B$2:$B$109,0)),0)</f>
        <v>0.14000000000000001</v>
      </c>
      <c r="H120" s="15">
        <f t="shared" si="5"/>
        <v>0.14000000000000001</v>
      </c>
      <c r="I120" s="13">
        <f t="shared" si="6"/>
        <v>1</v>
      </c>
      <c r="J120" s="15">
        <f t="shared" si="7"/>
        <v>0.14000000000000001</v>
      </c>
    </row>
    <row r="121" spans="1:10" ht="15" customHeight="1" x14ac:dyDescent="0.25">
      <c r="A121" s="13" t="s">
        <v>16</v>
      </c>
      <c r="B121" s="13" t="s">
        <v>8</v>
      </c>
      <c r="C121" s="13" t="s">
        <v>392</v>
      </c>
      <c r="D121" s="13">
        <v>1</v>
      </c>
      <c r="E121" s="13" t="s">
        <v>174</v>
      </c>
      <c r="F121" s="13">
        <f t="shared" si="4"/>
        <v>1</v>
      </c>
      <c r="G121" s="14">
        <f>IFERROR(INDEX('4. Master Ingredient Inventory'!$I$2:$I$109,MATCH($C121,'4. Master Ingredient Inventory'!$B$2:$B$109,0)),0)</f>
        <v>0.18</v>
      </c>
      <c r="H121" s="15">
        <f t="shared" si="5"/>
        <v>0.18</v>
      </c>
      <c r="I121" s="13">
        <f t="shared" si="6"/>
        <v>1</v>
      </c>
      <c r="J121" s="15">
        <f t="shared" si="7"/>
        <v>0.18</v>
      </c>
    </row>
    <row r="122" spans="1:10" ht="15" customHeight="1" x14ac:dyDescent="0.25">
      <c r="A122" s="13" t="s">
        <v>16</v>
      </c>
      <c r="B122" s="13" t="s">
        <v>8</v>
      </c>
      <c r="C122" s="13" t="s">
        <v>333</v>
      </c>
      <c r="D122" s="13">
        <v>1</v>
      </c>
      <c r="E122" s="13" t="s">
        <v>174</v>
      </c>
      <c r="F122" s="13">
        <f t="shared" si="4"/>
        <v>1</v>
      </c>
      <c r="G122" s="14">
        <f>IFERROR(INDEX('4. Master Ingredient Inventory'!$I$2:$I$109,MATCH($C122,'4. Master Ingredient Inventory'!$B$2:$B$109,0)),0)</f>
        <v>7.4999999999999997E-2</v>
      </c>
      <c r="H122" s="15">
        <f t="shared" si="5"/>
        <v>7.4999999999999997E-2</v>
      </c>
      <c r="I122" s="13">
        <f t="shared" si="6"/>
        <v>1</v>
      </c>
      <c r="J122" s="15">
        <f t="shared" si="7"/>
        <v>7.4999999999999997E-2</v>
      </c>
    </row>
    <row r="123" spans="1:10" ht="15" customHeight="1" x14ac:dyDescent="0.25">
      <c r="A123" s="13" t="s">
        <v>16</v>
      </c>
      <c r="B123" s="13" t="s">
        <v>8</v>
      </c>
      <c r="C123" s="13" t="s">
        <v>660</v>
      </c>
      <c r="D123" s="13">
        <v>5</v>
      </c>
      <c r="E123" s="13" t="s">
        <v>163</v>
      </c>
      <c r="F123" s="13">
        <f t="shared" si="4"/>
        <v>5</v>
      </c>
      <c r="G123" s="14">
        <f>IFERROR(INDEX('4. Master Ingredient Inventory'!$I$2:$I$109,MATCH($C123,'4. Master Ingredient Inventory'!$B$2:$B$109,0)),0)</f>
        <v>2E-3</v>
      </c>
      <c r="H123" s="15">
        <f t="shared" si="5"/>
        <v>0.01</v>
      </c>
      <c r="I123" s="13">
        <f t="shared" si="6"/>
        <v>5</v>
      </c>
      <c r="J123" s="15">
        <f t="shared" si="7"/>
        <v>0.01</v>
      </c>
    </row>
    <row r="124" spans="1:10" ht="15" customHeight="1" x14ac:dyDescent="0.25">
      <c r="A124" s="13" t="s">
        <v>16</v>
      </c>
      <c r="B124" s="13" t="s">
        <v>8</v>
      </c>
      <c r="C124" s="13" t="s">
        <v>613</v>
      </c>
      <c r="D124" s="13">
        <v>1</v>
      </c>
      <c r="E124" s="13" t="s">
        <v>174</v>
      </c>
      <c r="F124" s="13">
        <f t="shared" si="4"/>
        <v>1</v>
      </c>
      <c r="G124" s="14">
        <f>IFERROR(INDEX('4. Master Ingredient Inventory'!$I$2:$I$109,MATCH($C124,'4. Master Ingredient Inventory'!$B$2:$B$109,0)),0)</f>
        <v>0.32</v>
      </c>
      <c r="H124" s="15">
        <f t="shared" si="5"/>
        <v>0.32</v>
      </c>
      <c r="I124" s="13">
        <f t="shared" si="6"/>
        <v>1</v>
      </c>
      <c r="J124" s="15">
        <f t="shared" si="7"/>
        <v>0.32</v>
      </c>
    </row>
    <row r="125" spans="1:10" ht="15" customHeight="1" x14ac:dyDescent="0.25">
      <c r="A125" s="13" t="s">
        <v>17</v>
      </c>
      <c r="B125" s="13" t="s">
        <v>8</v>
      </c>
      <c r="C125" s="13" t="s">
        <v>293</v>
      </c>
      <c r="D125" s="13">
        <v>3</v>
      </c>
      <c r="E125" s="13" t="s">
        <v>222</v>
      </c>
      <c r="F125" s="13">
        <f t="shared" si="4"/>
        <v>3</v>
      </c>
      <c r="G125" s="14">
        <f>IFERROR(INDEX('4. Master Ingredient Inventory'!$I$2:$I$109,MATCH($C125,'4. Master Ingredient Inventory'!$B$2:$B$109,0)),0)</f>
        <v>13.77</v>
      </c>
      <c r="H125" s="15">
        <f t="shared" si="5"/>
        <v>41.31</v>
      </c>
      <c r="I125" s="13">
        <f t="shared" si="6"/>
        <v>3</v>
      </c>
      <c r="J125" s="15">
        <f t="shared" si="7"/>
        <v>41.31</v>
      </c>
    </row>
    <row r="126" spans="1:10" ht="15" customHeight="1" x14ac:dyDescent="0.25">
      <c r="A126" s="13" t="s">
        <v>17</v>
      </c>
      <c r="B126" s="13" t="s">
        <v>8</v>
      </c>
      <c r="C126" s="13" t="s">
        <v>170</v>
      </c>
      <c r="D126" s="13">
        <v>22.5</v>
      </c>
      <c r="E126" s="13" t="s">
        <v>174</v>
      </c>
      <c r="F126" s="13">
        <f t="shared" si="4"/>
        <v>22.5</v>
      </c>
      <c r="G126" s="14">
        <f>IFERROR(INDEX('4. Master Ingredient Inventory'!$I$2:$I$109,MATCH($C126,'4. Master Ingredient Inventory'!$B$2:$B$109,0)),0)</f>
        <v>5.8000000000000003E-2</v>
      </c>
      <c r="H126" s="15">
        <f t="shared" si="5"/>
        <v>1.3050000000000002</v>
      </c>
      <c r="I126" s="13">
        <f t="shared" si="6"/>
        <v>22.5</v>
      </c>
      <c r="J126" s="15">
        <f t="shared" si="7"/>
        <v>1.3050000000000002</v>
      </c>
    </row>
    <row r="127" spans="1:10" ht="15" customHeight="1" x14ac:dyDescent="0.25">
      <c r="A127" s="13" t="s">
        <v>17</v>
      </c>
      <c r="B127" s="13" t="s">
        <v>8</v>
      </c>
      <c r="C127" s="13" t="s">
        <v>333</v>
      </c>
      <c r="D127" s="13">
        <v>15</v>
      </c>
      <c r="E127" s="13" t="s">
        <v>174</v>
      </c>
      <c r="F127" s="13">
        <f t="shared" si="4"/>
        <v>15</v>
      </c>
      <c r="G127" s="14">
        <f>IFERROR(INDEX('4. Master Ingredient Inventory'!$I$2:$I$109,MATCH($C127,'4. Master Ingredient Inventory'!$B$2:$B$109,0)),0)</f>
        <v>7.4999999999999997E-2</v>
      </c>
      <c r="H127" s="15">
        <f t="shared" si="5"/>
        <v>1.125</v>
      </c>
      <c r="I127" s="13">
        <f t="shared" si="6"/>
        <v>15</v>
      </c>
      <c r="J127" s="15">
        <f t="shared" si="7"/>
        <v>1.125</v>
      </c>
    </row>
    <row r="128" spans="1:10" ht="15" customHeight="1" x14ac:dyDescent="0.25">
      <c r="A128" s="13" t="s">
        <v>17</v>
      </c>
      <c r="B128" s="13" t="s">
        <v>8</v>
      </c>
      <c r="C128" s="13" t="s">
        <v>188</v>
      </c>
      <c r="D128" s="13">
        <v>1</v>
      </c>
      <c r="E128" s="13" t="s">
        <v>174</v>
      </c>
      <c r="F128" s="13">
        <f t="shared" si="4"/>
        <v>1</v>
      </c>
      <c r="G128" s="14">
        <f>IFERROR(INDEX('4. Master Ingredient Inventory'!$I$2:$I$109,MATCH($C128,'4. Master Ingredient Inventory'!$B$2:$B$109,0)),0)</f>
        <v>0.14000000000000001</v>
      </c>
      <c r="H128" s="15">
        <f t="shared" si="5"/>
        <v>0.14000000000000001</v>
      </c>
      <c r="I128" s="13">
        <f t="shared" si="6"/>
        <v>1</v>
      </c>
      <c r="J128" s="15">
        <f t="shared" si="7"/>
        <v>0.14000000000000001</v>
      </c>
    </row>
    <row r="129" spans="1:10" ht="15" customHeight="1" x14ac:dyDescent="0.25">
      <c r="A129" s="13" t="s">
        <v>17</v>
      </c>
      <c r="B129" s="13" t="s">
        <v>8</v>
      </c>
      <c r="C129" s="13" t="s">
        <v>598</v>
      </c>
      <c r="D129" s="13">
        <v>1</v>
      </c>
      <c r="E129" s="13" t="s">
        <v>174</v>
      </c>
      <c r="F129" s="13">
        <f t="shared" si="4"/>
        <v>1</v>
      </c>
      <c r="G129" s="14">
        <f>IFERROR(INDEX('4. Master Ingredient Inventory'!$I$2:$I$109,MATCH($C129,'4. Master Ingredient Inventory'!$B$2:$B$109,0)),0)</f>
        <v>0.03</v>
      </c>
      <c r="H129" s="15">
        <f t="shared" si="5"/>
        <v>0.03</v>
      </c>
      <c r="I129" s="13">
        <f t="shared" si="6"/>
        <v>1</v>
      </c>
      <c r="J129" s="15">
        <f t="shared" si="7"/>
        <v>0.03</v>
      </c>
    </row>
    <row r="130" spans="1:10" ht="15" customHeight="1" x14ac:dyDescent="0.25">
      <c r="A130" s="13" t="s">
        <v>17</v>
      </c>
      <c r="B130" s="13" t="s">
        <v>8</v>
      </c>
      <c r="C130" s="13" t="s">
        <v>210</v>
      </c>
      <c r="D130" s="13">
        <v>0.5</v>
      </c>
      <c r="E130" s="13" t="s">
        <v>174</v>
      </c>
      <c r="F130" s="13">
        <f t="shared" si="4"/>
        <v>0.5</v>
      </c>
      <c r="G130" s="14">
        <f>IFERROR(INDEX('4. Master Ingredient Inventory'!$I$2:$I$109,MATCH($C130,'4. Master Ingredient Inventory'!$B$2:$B$109,0)),0)</f>
        <v>0.65</v>
      </c>
      <c r="H130" s="15">
        <f t="shared" si="5"/>
        <v>0.32500000000000001</v>
      </c>
      <c r="I130" s="13">
        <f t="shared" si="6"/>
        <v>0.5</v>
      </c>
      <c r="J130" s="15">
        <f t="shared" si="7"/>
        <v>0.32500000000000001</v>
      </c>
    </row>
    <row r="131" spans="1:10" ht="15" customHeight="1" x14ac:dyDescent="0.25">
      <c r="A131" s="13" t="s">
        <v>17</v>
      </c>
      <c r="B131" s="13" t="s">
        <v>8</v>
      </c>
      <c r="C131" s="13" t="s">
        <v>396</v>
      </c>
      <c r="D131" s="13">
        <v>0.5</v>
      </c>
      <c r="E131" s="13" t="s">
        <v>174</v>
      </c>
      <c r="F131" s="13">
        <f t="shared" si="4"/>
        <v>0.5</v>
      </c>
      <c r="G131" s="14">
        <f>IFERROR(INDEX('4. Master Ingredient Inventory'!$I$2:$I$109,MATCH($C131,'4. Master Ingredient Inventory'!$B$2:$B$109,0)),0)</f>
        <v>0.28000000000000003</v>
      </c>
      <c r="H131" s="15">
        <f t="shared" si="5"/>
        <v>0.14000000000000001</v>
      </c>
      <c r="I131" s="13">
        <f t="shared" si="6"/>
        <v>0.5</v>
      </c>
      <c r="J131" s="15">
        <f t="shared" si="7"/>
        <v>0.14000000000000001</v>
      </c>
    </row>
    <row r="132" spans="1:10" ht="15" customHeight="1" x14ac:dyDescent="0.25">
      <c r="A132" s="13" t="s">
        <v>17</v>
      </c>
      <c r="B132" s="13" t="s">
        <v>8</v>
      </c>
      <c r="C132" s="13" t="s">
        <v>323</v>
      </c>
      <c r="D132" s="13">
        <f>3*$T$1</f>
        <v>15</v>
      </c>
      <c r="E132" s="13" t="s">
        <v>163</v>
      </c>
      <c r="F132" s="13">
        <f t="shared" ref="F132:F195" si="8">$D132*1</f>
        <v>15</v>
      </c>
      <c r="G132" s="14">
        <f>IFERROR(INDEX('4. Master Ingredient Inventory'!$I$2:$I$109,MATCH($C132,'4. Master Ingredient Inventory'!$B$2:$B$109,0)),0)</f>
        <v>0.09</v>
      </c>
      <c r="H132" s="15">
        <f t="shared" ref="H132:H195" si="9">$F132*$G132</f>
        <v>1.3499999999999999</v>
      </c>
      <c r="I132" s="13">
        <f t="shared" ref="I132:I195" si="10">IF(AND($C132="Cooking Oil",$D132&gt;=100),$D132*$L$1,$F132)</f>
        <v>15</v>
      </c>
      <c r="J132" s="15">
        <f t="shared" ref="J132:J195" si="11">$I132*$G132</f>
        <v>1.3499999999999999</v>
      </c>
    </row>
    <row r="133" spans="1:10" ht="15" customHeight="1" x14ac:dyDescent="0.25">
      <c r="A133" s="13" t="s">
        <v>17</v>
      </c>
      <c r="B133" s="13" t="s">
        <v>8</v>
      </c>
      <c r="C133" s="13" t="s">
        <v>635</v>
      </c>
      <c r="D133" s="13">
        <v>17.5</v>
      </c>
      <c r="E133" s="13" t="s">
        <v>163</v>
      </c>
      <c r="F133" s="13">
        <f t="shared" si="8"/>
        <v>17.5</v>
      </c>
      <c r="G133" s="14">
        <f>IFERROR(INDEX('4. Master Ingredient Inventory'!$I$2:$I$109,MATCH($C133,'4. Master Ingredient Inventory'!$B$2:$B$109,0)),0)</f>
        <v>0.28000000000000003</v>
      </c>
      <c r="H133" s="15">
        <f t="shared" si="9"/>
        <v>4.9000000000000004</v>
      </c>
      <c r="I133" s="13">
        <f t="shared" si="10"/>
        <v>17.5</v>
      </c>
      <c r="J133" s="15">
        <f t="shared" si="11"/>
        <v>4.9000000000000004</v>
      </c>
    </row>
    <row r="134" spans="1:10" ht="15" customHeight="1" x14ac:dyDescent="0.25">
      <c r="A134" s="13" t="s">
        <v>17</v>
      </c>
      <c r="B134" s="13" t="s">
        <v>8</v>
      </c>
      <c r="C134" s="13" t="s">
        <v>422</v>
      </c>
      <c r="D134" s="13">
        <v>6</v>
      </c>
      <c r="E134" s="13" t="s">
        <v>174</v>
      </c>
      <c r="F134" s="13">
        <f t="shared" si="8"/>
        <v>6</v>
      </c>
      <c r="G134" s="14">
        <f>IFERROR(INDEX('4. Master Ingredient Inventory'!$I$2:$I$109,MATCH($C134,'4. Master Ingredient Inventory'!$B$2:$B$109,0)),0)</f>
        <v>0.32</v>
      </c>
      <c r="H134" s="15">
        <f t="shared" si="9"/>
        <v>1.92</v>
      </c>
      <c r="I134" s="13">
        <f t="shared" si="10"/>
        <v>6</v>
      </c>
      <c r="J134" s="15">
        <f t="shared" si="11"/>
        <v>1.92</v>
      </c>
    </row>
    <row r="135" spans="1:10" ht="15" customHeight="1" x14ac:dyDescent="0.25">
      <c r="A135" s="13" t="s">
        <v>17</v>
      </c>
      <c r="B135" s="13" t="s">
        <v>8</v>
      </c>
      <c r="C135" s="13" t="s">
        <v>243</v>
      </c>
      <c r="D135" s="13">
        <v>4</v>
      </c>
      <c r="E135" s="13" t="s">
        <v>174</v>
      </c>
      <c r="F135" s="13">
        <f t="shared" si="8"/>
        <v>4</v>
      </c>
      <c r="G135" s="14">
        <f>IFERROR(INDEX('4. Master Ingredient Inventory'!$I$2:$I$109,MATCH($C135,'4. Master Ingredient Inventory'!$B$2:$B$109,0)),0)</f>
        <v>0.48</v>
      </c>
      <c r="H135" s="15">
        <f t="shared" si="9"/>
        <v>1.92</v>
      </c>
      <c r="I135" s="13">
        <f t="shared" si="10"/>
        <v>4</v>
      </c>
      <c r="J135" s="15">
        <f t="shared" si="11"/>
        <v>1.92</v>
      </c>
    </row>
    <row r="136" spans="1:10" ht="15" customHeight="1" x14ac:dyDescent="0.25">
      <c r="A136" s="13" t="s">
        <v>17</v>
      </c>
      <c r="B136" s="13" t="s">
        <v>8</v>
      </c>
      <c r="C136" s="13" t="s">
        <v>255</v>
      </c>
      <c r="D136" s="13">
        <v>2</v>
      </c>
      <c r="E136" s="13" t="s">
        <v>163</v>
      </c>
      <c r="F136" s="13">
        <f t="shared" si="8"/>
        <v>2</v>
      </c>
      <c r="G136" s="14">
        <f>IFERROR(INDEX('4. Master Ingredient Inventory'!$I$2:$I$109,MATCH($C136,'4. Master Ingredient Inventory'!$B$2:$B$109,0)),0)</f>
        <v>0.15</v>
      </c>
      <c r="H136" s="15">
        <f t="shared" si="9"/>
        <v>0.3</v>
      </c>
      <c r="I136" s="13">
        <f t="shared" si="10"/>
        <v>2</v>
      </c>
      <c r="J136" s="15">
        <f t="shared" si="11"/>
        <v>0.3</v>
      </c>
    </row>
    <row r="137" spans="1:10" ht="15" customHeight="1" x14ac:dyDescent="0.25">
      <c r="A137" s="13" t="s">
        <v>17</v>
      </c>
      <c r="B137" s="13" t="s">
        <v>8</v>
      </c>
      <c r="C137" s="13" t="s">
        <v>396</v>
      </c>
      <c r="D137" s="13">
        <v>0.5</v>
      </c>
      <c r="E137" s="13" t="s">
        <v>174</v>
      </c>
      <c r="F137" s="13">
        <f t="shared" si="8"/>
        <v>0.5</v>
      </c>
      <c r="G137" s="14">
        <f>IFERROR(INDEX('4. Master Ingredient Inventory'!$I$2:$I$109,MATCH($C137,'4. Master Ingredient Inventory'!$B$2:$B$109,0)),0)</f>
        <v>0.28000000000000003</v>
      </c>
      <c r="H137" s="15">
        <f t="shared" si="9"/>
        <v>0.14000000000000001</v>
      </c>
      <c r="I137" s="13">
        <f t="shared" si="10"/>
        <v>0.5</v>
      </c>
      <c r="J137" s="15">
        <f t="shared" si="11"/>
        <v>0.14000000000000001</v>
      </c>
    </row>
    <row r="138" spans="1:10" ht="15" customHeight="1" x14ac:dyDescent="0.25">
      <c r="A138" s="13" t="s">
        <v>18</v>
      </c>
      <c r="B138" s="13" t="s">
        <v>19</v>
      </c>
      <c r="C138" s="13" t="s">
        <v>293</v>
      </c>
      <c r="D138" s="13">
        <v>3</v>
      </c>
      <c r="E138" s="13" t="s">
        <v>222</v>
      </c>
      <c r="F138" s="13">
        <f t="shared" si="8"/>
        <v>3</v>
      </c>
      <c r="G138" s="14">
        <f>IFERROR(INDEX('4. Master Ingredient Inventory'!$I$2:$I$109,MATCH($C138,'4. Master Ingredient Inventory'!$B$2:$B$109,0)),0)</f>
        <v>13.77</v>
      </c>
      <c r="H138" s="15">
        <f t="shared" si="9"/>
        <v>41.31</v>
      </c>
      <c r="I138" s="13">
        <f t="shared" si="10"/>
        <v>3</v>
      </c>
      <c r="J138" s="15">
        <f t="shared" si="11"/>
        <v>41.31</v>
      </c>
    </row>
    <row r="139" spans="1:10" ht="15" customHeight="1" x14ac:dyDescent="0.25">
      <c r="A139" s="13" t="s">
        <v>18</v>
      </c>
      <c r="B139" s="13" t="s">
        <v>19</v>
      </c>
      <c r="C139" s="13" t="s">
        <v>170</v>
      </c>
      <c r="D139" s="13">
        <v>22.5</v>
      </c>
      <c r="E139" s="13" t="s">
        <v>174</v>
      </c>
      <c r="F139" s="13">
        <f t="shared" si="8"/>
        <v>22.5</v>
      </c>
      <c r="G139" s="14">
        <f>IFERROR(INDEX('4. Master Ingredient Inventory'!$I$2:$I$109,MATCH($C139,'4. Master Ingredient Inventory'!$B$2:$B$109,0)),0)</f>
        <v>5.8000000000000003E-2</v>
      </c>
      <c r="H139" s="15">
        <f t="shared" si="9"/>
        <v>1.3050000000000002</v>
      </c>
      <c r="I139" s="13">
        <f t="shared" si="10"/>
        <v>22.5</v>
      </c>
      <c r="J139" s="15">
        <f t="shared" si="11"/>
        <v>1.3050000000000002</v>
      </c>
    </row>
    <row r="140" spans="1:10" ht="15" customHeight="1" x14ac:dyDescent="0.25">
      <c r="A140" s="13" t="s">
        <v>18</v>
      </c>
      <c r="B140" s="13" t="s">
        <v>19</v>
      </c>
      <c r="C140" s="13" t="s">
        <v>333</v>
      </c>
      <c r="D140" s="13">
        <v>15</v>
      </c>
      <c r="E140" s="13" t="s">
        <v>174</v>
      </c>
      <c r="F140" s="13">
        <f t="shared" si="8"/>
        <v>15</v>
      </c>
      <c r="G140" s="14">
        <f>IFERROR(INDEX('4. Master Ingredient Inventory'!$I$2:$I$109,MATCH($C140,'4. Master Ingredient Inventory'!$B$2:$B$109,0)),0)</f>
        <v>7.4999999999999997E-2</v>
      </c>
      <c r="H140" s="15">
        <f t="shared" si="9"/>
        <v>1.125</v>
      </c>
      <c r="I140" s="13">
        <f t="shared" si="10"/>
        <v>15</v>
      </c>
      <c r="J140" s="15">
        <f t="shared" si="11"/>
        <v>1.125</v>
      </c>
    </row>
    <row r="141" spans="1:10" ht="15" customHeight="1" x14ac:dyDescent="0.25">
      <c r="A141" s="13" t="s">
        <v>18</v>
      </c>
      <c r="B141" s="13" t="s">
        <v>19</v>
      </c>
      <c r="C141" s="13" t="s">
        <v>188</v>
      </c>
      <c r="D141" s="13">
        <v>1</v>
      </c>
      <c r="E141" s="13" t="s">
        <v>174</v>
      </c>
      <c r="F141" s="13">
        <f t="shared" si="8"/>
        <v>1</v>
      </c>
      <c r="G141" s="14">
        <f>IFERROR(INDEX('4. Master Ingredient Inventory'!$I$2:$I$109,MATCH($C141,'4. Master Ingredient Inventory'!$B$2:$B$109,0)),0)</f>
        <v>0.14000000000000001</v>
      </c>
      <c r="H141" s="15">
        <f t="shared" si="9"/>
        <v>0.14000000000000001</v>
      </c>
      <c r="I141" s="13">
        <f t="shared" si="10"/>
        <v>1</v>
      </c>
      <c r="J141" s="15">
        <f t="shared" si="11"/>
        <v>0.14000000000000001</v>
      </c>
    </row>
    <row r="142" spans="1:10" ht="15" customHeight="1" x14ac:dyDescent="0.25">
      <c r="A142" s="13" t="s">
        <v>18</v>
      </c>
      <c r="B142" s="13" t="s">
        <v>19</v>
      </c>
      <c r="C142" s="13" t="s">
        <v>598</v>
      </c>
      <c r="D142" s="13">
        <v>1</v>
      </c>
      <c r="E142" s="13" t="s">
        <v>174</v>
      </c>
      <c r="F142" s="13">
        <f t="shared" si="8"/>
        <v>1</v>
      </c>
      <c r="G142" s="14">
        <f>IFERROR(INDEX('4. Master Ingredient Inventory'!$I$2:$I$109,MATCH($C142,'4. Master Ingredient Inventory'!$B$2:$B$109,0)),0)</f>
        <v>0.03</v>
      </c>
      <c r="H142" s="15">
        <f t="shared" si="9"/>
        <v>0.03</v>
      </c>
      <c r="I142" s="13">
        <f t="shared" si="10"/>
        <v>1</v>
      </c>
      <c r="J142" s="15">
        <f t="shared" si="11"/>
        <v>0.03</v>
      </c>
    </row>
    <row r="143" spans="1:10" ht="15" customHeight="1" x14ac:dyDescent="0.25">
      <c r="A143" s="13" t="s">
        <v>18</v>
      </c>
      <c r="B143" s="13" t="s">
        <v>19</v>
      </c>
      <c r="C143" s="13" t="s">
        <v>210</v>
      </c>
      <c r="D143" s="13">
        <v>0.5</v>
      </c>
      <c r="E143" s="13" t="s">
        <v>174</v>
      </c>
      <c r="F143" s="13">
        <f t="shared" si="8"/>
        <v>0.5</v>
      </c>
      <c r="G143" s="14">
        <f>IFERROR(INDEX('4. Master Ingredient Inventory'!$I$2:$I$109,MATCH($C143,'4. Master Ingredient Inventory'!$B$2:$B$109,0)),0)</f>
        <v>0.65</v>
      </c>
      <c r="H143" s="15">
        <f t="shared" si="9"/>
        <v>0.32500000000000001</v>
      </c>
      <c r="I143" s="13">
        <f t="shared" si="10"/>
        <v>0.5</v>
      </c>
      <c r="J143" s="15">
        <f t="shared" si="11"/>
        <v>0.32500000000000001</v>
      </c>
    </row>
    <row r="144" spans="1:10" ht="15" customHeight="1" x14ac:dyDescent="0.25">
      <c r="A144" s="13" t="s">
        <v>18</v>
      </c>
      <c r="B144" s="13" t="s">
        <v>19</v>
      </c>
      <c r="C144" s="13" t="s">
        <v>396</v>
      </c>
      <c r="D144" s="13">
        <v>0.5</v>
      </c>
      <c r="E144" s="13" t="s">
        <v>174</v>
      </c>
      <c r="F144" s="13">
        <f t="shared" si="8"/>
        <v>0.5</v>
      </c>
      <c r="G144" s="14">
        <f>IFERROR(INDEX('4. Master Ingredient Inventory'!$I$2:$I$109,MATCH($C144,'4. Master Ingredient Inventory'!$B$2:$B$109,0)),0)</f>
        <v>0.28000000000000003</v>
      </c>
      <c r="H144" s="15">
        <f t="shared" si="9"/>
        <v>0.14000000000000001</v>
      </c>
      <c r="I144" s="13">
        <f t="shared" si="10"/>
        <v>0.5</v>
      </c>
      <c r="J144" s="15">
        <f t="shared" si="11"/>
        <v>0.14000000000000001</v>
      </c>
    </row>
    <row r="145" spans="1:10" ht="15" customHeight="1" x14ac:dyDescent="0.25">
      <c r="A145" s="13" t="s">
        <v>18</v>
      </c>
      <c r="B145" s="13" t="s">
        <v>19</v>
      </c>
      <c r="C145" s="13" t="s">
        <v>323</v>
      </c>
      <c r="D145" s="13">
        <f>3*$T$1</f>
        <v>15</v>
      </c>
      <c r="E145" s="13" t="s">
        <v>163</v>
      </c>
      <c r="F145" s="13">
        <f t="shared" si="8"/>
        <v>15</v>
      </c>
      <c r="G145" s="14">
        <f>IFERROR(INDEX('4. Master Ingredient Inventory'!$I$2:$I$109,MATCH($C145,'4. Master Ingredient Inventory'!$B$2:$B$109,0)),0)</f>
        <v>0.09</v>
      </c>
      <c r="H145" s="15">
        <f t="shared" si="9"/>
        <v>1.3499999999999999</v>
      </c>
      <c r="I145" s="13">
        <f t="shared" si="10"/>
        <v>15</v>
      </c>
      <c r="J145" s="15">
        <f t="shared" si="11"/>
        <v>1.3499999999999999</v>
      </c>
    </row>
    <row r="146" spans="1:10" ht="15" customHeight="1" x14ac:dyDescent="0.25">
      <c r="A146" s="13" t="s">
        <v>18</v>
      </c>
      <c r="B146" s="13" t="s">
        <v>19</v>
      </c>
      <c r="C146" s="13" t="s">
        <v>278</v>
      </c>
      <c r="D146" s="13">
        <v>9</v>
      </c>
      <c r="E146" s="13" t="s">
        <v>174</v>
      </c>
      <c r="F146" s="13">
        <f t="shared" si="8"/>
        <v>9</v>
      </c>
      <c r="G146" s="14">
        <f>IFERROR(INDEX('4. Master Ingredient Inventory'!$I$2:$I$109,MATCH($C146,'4. Master Ingredient Inventory'!$B$2:$B$109,0)),0)</f>
        <v>0.65</v>
      </c>
      <c r="H146" s="15">
        <f t="shared" si="9"/>
        <v>5.8500000000000005</v>
      </c>
      <c r="I146" s="13">
        <f t="shared" si="10"/>
        <v>9</v>
      </c>
      <c r="J146" s="15">
        <f t="shared" si="11"/>
        <v>5.8500000000000005</v>
      </c>
    </row>
    <row r="147" spans="1:10" ht="15" customHeight="1" x14ac:dyDescent="0.25">
      <c r="A147" s="13" t="s">
        <v>18</v>
      </c>
      <c r="B147" s="13" t="s">
        <v>19</v>
      </c>
      <c r="C147" s="13" t="s">
        <v>486</v>
      </c>
      <c r="D147" s="13">
        <v>2.5</v>
      </c>
      <c r="E147" s="13" t="s">
        <v>174</v>
      </c>
      <c r="F147" s="13">
        <f t="shared" si="8"/>
        <v>2.5</v>
      </c>
      <c r="G147" s="14">
        <f>IFERROR(INDEX('4. Master Ingredient Inventory'!$I$2:$I$109,MATCH($C147,'4. Master Ingredient Inventory'!$B$2:$B$109,0)),0)</f>
        <v>0.47</v>
      </c>
      <c r="H147" s="15">
        <f t="shared" si="9"/>
        <v>1.1749999999999998</v>
      </c>
      <c r="I147" s="13">
        <f t="shared" si="10"/>
        <v>2.5</v>
      </c>
      <c r="J147" s="15">
        <f t="shared" si="11"/>
        <v>1.1749999999999998</v>
      </c>
    </row>
    <row r="148" spans="1:10" ht="15" customHeight="1" x14ac:dyDescent="0.25">
      <c r="A148" s="13" t="s">
        <v>18</v>
      </c>
      <c r="B148" s="13" t="s">
        <v>19</v>
      </c>
      <c r="C148" s="13" t="s">
        <v>571</v>
      </c>
      <c r="D148" s="13">
        <v>1.5</v>
      </c>
      <c r="E148" s="13" t="s">
        <v>174</v>
      </c>
      <c r="F148" s="13">
        <f t="shared" si="8"/>
        <v>1.5</v>
      </c>
      <c r="G148" s="14">
        <f>IFERROR(INDEX('4. Master Ingredient Inventory'!$I$2:$I$109,MATCH($C148,'4. Master Ingredient Inventory'!$B$2:$B$109,0)),0)</f>
        <v>9.5000000000000001E-2</v>
      </c>
      <c r="H148" s="15">
        <f t="shared" si="9"/>
        <v>0.14250000000000002</v>
      </c>
      <c r="I148" s="13">
        <f t="shared" si="10"/>
        <v>1.5</v>
      </c>
      <c r="J148" s="15">
        <f t="shared" si="11"/>
        <v>0.14250000000000002</v>
      </c>
    </row>
    <row r="149" spans="1:10" ht="15" customHeight="1" x14ac:dyDescent="0.25">
      <c r="A149" s="13" t="s">
        <v>18</v>
      </c>
      <c r="B149" s="13" t="s">
        <v>19</v>
      </c>
      <c r="C149" s="13" t="s">
        <v>536</v>
      </c>
      <c r="D149" s="13">
        <v>2.5</v>
      </c>
      <c r="E149" s="13" t="s">
        <v>174</v>
      </c>
      <c r="F149" s="13">
        <f t="shared" si="8"/>
        <v>2.5</v>
      </c>
      <c r="G149" s="14">
        <f>IFERROR(INDEX('4. Master Ingredient Inventory'!$I$2:$I$109,MATCH($C149,'4. Master Ingredient Inventory'!$B$2:$B$109,0)),0)</f>
        <v>0.85</v>
      </c>
      <c r="H149" s="15">
        <f t="shared" si="9"/>
        <v>2.125</v>
      </c>
      <c r="I149" s="13">
        <f t="shared" si="10"/>
        <v>2.5</v>
      </c>
      <c r="J149" s="15">
        <f t="shared" si="11"/>
        <v>2.125</v>
      </c>
    </row>
    <row r="150" spans="1:10" ht="15" customHeight="1" x14ac:dyDescent="0.25">
      <c r="A150" s="13" t="s">
        <v>20</v>
      </c>
      <c r="B150" s="13" t="s">
        <v>19</v>
      </c>
      <c r="C150" s="13" t="s">
        <v>293</v>
      </c>
      <c r="D150" s="13">
        <v>3</v>
      </c>
      <c r="E150" s="13" t="s">
        <v>222</v>
      </c>
      <c r="F150" s="13">
        <f t="shared" si="8"/>
        <v>3</v>
      </c>
      <c r="G150" s="14">
        <f>IFERROR(INDEX('4. Master Ingredient Inventory'!$I$2:$I$109,MATCH($C150,'4. Master Ingredient Inventory'!$B$2:$B$109,0)),0)</f>
        <v>13.77</v>
      </c>
      <c r="H150" s="15">
        <f t="shared" si="9"/>
        <v>41.31</v>
      </c>
      <c r="I150" s="13">
        <f t="shared" si="10"/>
        <v>3</v>
      </c>
      <c r="J150" s="15">
        <f t="shared" si="11"/>
        <v>41.31</v>
      </c>
    </row>
    <row r="151" spans="1:10" ht="15" customHeight="1" x14ac:dyDescent="0.25">
      <c r="A151" s="13" t="s">
        <v>20</v>
      </c>
      <c r="B151" s="13" t="s">
        <v>19</v>
      </c>
      <c r="C151" s="13" t="s">
        <v>170</v>
      </c>
      <c r="D151" s="13">
        <v>22.5</v>
      </c>
      <c r="E151" s="13" t="s">
        <v>174</v>
      </c>
      <c r="F151" s="13">
        <f t="shared" si="8"/>
        <v>22.5</v>
      </c>
      <c r="G151" s="14">
        <f>IFERROR(INDEX('4. Master Ingredient Inventory'!$I$2:$I$109,MATCH($C151,'4. Master Ingredient Inventory'!$B$2:$B$109,0)),0)</f>
        <v>5.8000000000000003E-2</v>
      </c>
      <c r="H151" s="15">
        <f t="shared" si="9"/>
        <v>1.3050000000000002</v>
      </c>
      <c r="I151" s="13">
        <f t="shared" si="10"/>
        <v>22.5</v>
      </c>
      <c r="J151" s="15">
        <f t="shared" si="11"/>
        <v>1.3050000000000002</v>
      </c>
    </row>
    <row r="152" spans="1:10" ht="15" customHeight="1" x14ac:dyDescent="0.25">
      <c r="A152" s="13" t="s">
        <v>20</v>
      </c>
      <c r="B152" s="13" t="s">
        <v>19</v>
      </c>
      <c r="C152" s="13" t="s">
        <v>333</v>
      </c>
      <c r="D152" s="13">
        <v>15</v>
      </c>
      <c r="E152" s="13" t="s">
        <v>174</v>
      </c>
      <c r="F152" s="13">
        <f t="shared" si="8"/>
        <v>15</v>
      </c>
      <c r="G152" s="14">
        <f>IFERROR(INDEX('4. Master Ingredient Inventory'!$I$2:$I$109,MATCH($C152,'4. Master Ingredient Inventory'!$B$2:$B$109,0)),0)</f>
        <v>7.4999999999999997E-2</v>
      </c>
      <c r="H152" s="15">
        <f t="shared" si="9"/>
        <v>1.125</v>
      </c>
      <c r="I152" s="13">
        <f t="shared" si="10"/>
        <v>15</v>
      </c>
      <c r="J152" s="15">
        <f t="shared" si="11"/>
        <v>1.125</v>
      </c>
    </row>
    <row r="153" spans="1:10" ht="15" customHeight="1" x14ac:dyDescent="0.25">
      <c r="A153" s="13" t="s">
        <v>20</v>
      </c>
      <c r="B153" s="13" t="s">
        <v>19</v>
      </c>
      <c r="C153" s="13" t="s">
        <v>188</v>
      </c>
      <c r="D153" s="13">
        <v>1</v>
      </c>
      <c r="E153" s="13" t="s">
        <v>174</v>
      </c>
      <c r="F153" s="13">
        <f t="shared" si="8"/>
        <v>1</v>
      </c>
      <c r="G153" s="14">
        <f>IFERROR(INDEX('4. Master Ingredient Inventory'!$I$2:$I$109,MATCH($C153,'4. Master Ingredient Inventory'!$B$2:$B$109,0)),0)</f>
        <v>0.14000000000000001</v>
      </c>
      <c r="H153" s="15">
        <f t="shared" si="9"/>
        <v>0.14000000000000001</v>
      </c>
      <c r="I153" s="13">
        <f t="shared" si="10"/>
        <v>1</v>
      </c>
      <c r="J153" s="15">
        <f t="shared" si="11"/>
        <v>0.14000000000000001</v>
      </c>
    </row>
    <row r="154" spans="1:10" ht="15" customHeight="1" x14ac:dyDescent="0.25">
      <c r="A154" s="13" t="s">
        <v>20</v>
      </c>
      <c r="B154" s="13" t="s">
        <v>19</v>
      </c>
      <c r="C154" s="13" t="s">
        <v>598</v>
      </c>
      <c r="D154" s="13">
        <v>1</v>
      </c>
      <c r="E154" s="13" t="s">
        <v>174</v>
      </c>
      <c r="F154" s="13">
        <f t="shared" si="8"/>
        <v>1</v>
      </c>
      <c r="G154" s="14">
        <f>IFERROR(INDEX('4. Master Ingredient Inventory'!$I$2:$I$109,MATCH($C154,'4. Master Ingredient Inventory'!$B$2:$B$109,0)),0)</f>
        <v>0.03</v>
      </c>
      <c r="H154" s="15">
        <f t="shared" si="9"/>
        <v>0.03</v>
      </c>
      <c r="I154" s="13">
        <f t="shared" si="10"/>
        <v>1</v>
      </c>
      <c r="J154" s="15">
        <f t="shared" si="11"/>
        <v>0.03</v>
      </c>
    </row>
    <row r="155" spans="1:10" ht="15" customHeight="1" x14ac:dyDescent="0.25">
      <c r="A155" s="13" t="s">
        <v>20</v>
      </c>
      <c r="B155" s="13" t="s">
        <v>19</v>
      </c>
      <c r="C155" s="13" t="s">
        <v>210</v>
      </c>
      <c r="D155" s="13">
        <v>0.5</v>
      </c>
      <c r="E155" s="13" t="s">
        <v>174</v>
      </c>
      <c r="F155" s="13">
        <f t="shared" si="8"/>
        <v>0.5</v>
      </c>
      <c r="G155" s="14">
        <f>IFERROR(INDEX('4. Master Ingredient Inventory'!$I$2:$I$109,MATCH($C155,'4. Master Ingredient Inventory'!$B$2:$B$109,0)),0)</f>
        <v>0.65</v>
      </c>
      <c r="H155" s="15">
        <f t="shared" si="9"/>
        <v>0.32500000000000001</v>
      </c>
      <c r="I155" s="13">
        <f t="shared" si="10"/>
        <v>0.5</v>
      </c>
      <c r="J155" s="15">
        <f t="shared" si="11"/>
        <v>0.32500000000000001</v>
      </c>
    </row>
    <row r="156" spans="1:10" ht="15" customHeight="1" x14ac:dyDescent="0.25">
      <c r="A156" s="13" t="s">
        <v>20</v>
      </c>
      <c r="B156" s="13" t="s">
        <v>19</v>
      </c>
      <c r="C156" s="13" t="s">
        <v>396</v>
      </c>
      <c r="D156" s="13">
        <v>0.5</v>
      </c>
      <c r="E156" s="13" t="s">
        <v>174</v>
      </c>
      <c r="F156" s="13">
        <f t="shared" si="8"/>
        <v>0.5</v>
      </c>
      <c r="G156" s="14">
        <f>IFERROR(INDEX('4. Master Ingredient Inventory'!$I$2:$I$109,MATCH($C156,'4. Master Ingredient Inventory'!$B$2:$B$109,0)),0)</f>
        <v>0.28000000000000003</v>
      </c>
      <c r="H156" s="15">
        <f t="shared" si="9"/>
        <v>0.14000000000000001</v>
      </c>
      <c r="I156" s="13">
        <f t="shared" si="10"/>
        <v>0.5</v>
      </c>
      <c r="J156" s="15">
        <f t="shared" si="11"/>
        <v>0.14000000000000001</v>
      </c>
    </row>
    <row r="157" spans="1:10" ht="15" customHeight="1" x14ac:dyDescent="0.25">
      <c r="A157" s="13" t="s">
        <v>20</v>
      </c>
      <c r="B157" s="13" t="s">
        <v>19</v>
      </c>
      <c r="C157" s="13" t="s">
        <v>323</v>
      </c>
      <c r="D157" s="13">
        <f>3*$T$1</f>
        <v>15</v>
      </c>
      <c r="E157" s="13" t="s">
        <v>163</v>
      </c>
      <c r="F157" s="13">
        <f t="shared" si="8"/>
        <v>15</v>
      </c>
      <c r="G157" s="14">
        <f>IFERROR(INDEX('4. Master Ingredient Inventory'!$I$2:$I$109,MATCH($C157,'4. Master Ingredient Inventory'!$B$2:$B$109,0)),0)</f>
        <v>0.09</v>
      </c>
      <c r="H157" s="15">
        <f t="shared" si="9"/>
        <v>1.3499999999999999</v>
      </c>
      <c r="I157" s="13">
        <f t="shared" si="10"/>
        <v>15</v>
      </c>
      <c r="J157" s="15">
        <f t="shared" si="11"/>
        <v>1.3499999999999999</v>
      </c>
    </row>
    <row r="158" spans="1:10" ht="15" customHeight="1" x14ac:dyDescent="0.25">
      <c r="A158" s="13" t="s">
        <v>20</v>
      </c>
      <c r="B158" s="13" t="s">
        <v>19</v>
      </c>
      <c r="C158" s="13" t="s">
        <v>518</v>
      </c>
      <c r="D158" s="13">
        <v>17.5</v>
      </c>
      <c r="E158" s="13" t="s">
        <v>163</v>
      </c>
      <c r="F158" s="13">
        <f t="shared" si="8"/>
        <v>17.5</v>
      </c>
      <c r="G158" s="14">
        <f>IFERROR(INDEX('4. Master Ingredient Inventory'!$I$2:$I$109,MATCH($C158,'4. Master Ingredient Inventory'!$B$2:$B$109,0)),0)</f>
        <v>0.14000000000000001</v>
      </c>
      <c r="H158" s="15">
        <f t="shared" si="9"/>
        <v>2.4500000000000002</v>
      </c>
      <c r="I158" s="13">
        <f t="shared" si="10"/>
        <v>17.5</v>
      </c>
      <c r="J158" s="15">
        <f t="shared" si="11"/>
        <v>2.4500000000000002</v>
      </c>
    </row>
    <row r="159" spans="1:10" ht="15" customHeight="1" x14ac:dyDescent="0.25">
      <c r="A159" s="13" t="s">
        <v>20</v>
      </c>
      <c r="B159" s="13" t="s">
        <v>19</v>
      </c>
      <c r="C159" s="13" t="s">
        <v>521</v>
      </c>
      <c r="D159" s="13">
        <v>0.5</v>
      </c>
      <c r="E159" s="13" t="s">
        <v>174</v>
      </c>
      <c r="F159" s="13">
        <f t="shared" si="8"/>
        <v>0.5</v>
      </c>
      <c r="G159" s="14">
        <f>IFERROR(INDEX('4. Master Ingredient Inventory'!$I$2:$I$109,MATCH($C159,'4. Master Ingredient Inventory'!$B$2:$B$109,0)),0)</f>
        <v>0.1</v>
      </c>
      <c r="H159" s="15">
        <f t="shared" si="9"/>
        <v>0.05</v>
      </c>
      <c r="I159" s="13">
        <f t="shared" si="10"/>
        <v>0.5</v>
      </c>
      <c r="J159" s="15">
        <f t="shared" si="11"/>
        <v>0.05</v>
      </c>
    </row>
    <row r="160" spans="1:10" ht="15" customHeight="1" x14ac:dyDescent="0.25">
      <c r="A160" s="13" t="s">
        <v>20</v>
      </c>
      <c r="B160" s="13" t="s">
        <v>19</v>
      </c>
      <c r="C160" s="13" t="s">
        <v>618</v>
      </c>
      <c r="D160" s="13">
        <v>4</v>
      </c>
      <c r="E160" s="13" t="s">
        <v>163</v>
      </c>
      <c r="F160" s="13">
        <f t="shared" si="8"/>
        <v>4</v>
      </c>
      <c r="G160" s="14">
        <f>IFERROR(INDEX('4. Master Ingredient Inventory'!$I$2:$I$109,MATCH($C160,'4. Master Ingredient Inventory'!$B$2:$B$109,0)),0)</f>
        <v>6.5000000000000002E-2</v>
      </c>
      <c r="H160" s="15">
        <f t="shared" si="9"/>
        <v>0.26</v>
      </c>
      <c r="I160" s="13">
        <f t="shared" si="10"/>
        <v>4</v>
      </c>
      <c r="J160" s="15">
        <f t="shared" si="11"/>
        <v>0.26</v>
      </c>
    </row>
    <row r="161" spans="1:10" ht="15" customHeight="1" x14ac:dyDescent="0.25">
      <c r="A161" s="13" t="s">
        <v>20</v>
      </c>
      <c r="B161" s="13" t="s">
        <v>19</v>
      </c>
      <c r="C161" s="13" t="s">
        <v>238</v>
      </c>
      <c r="D161" s="13">
        <v>6</v>
      </c>
      <c r="E161" s="13" t="s">
        <v>174</v>
      </c>
      <c r="F161" s="13">
        <f t="shared" si="8"/>
        <v>6</v>
      </c>
      <c r="G161" s="14">
        <f>IFERROR(INDEX('4. Master Ingredient Inventory'!$I$2:$I$109,MATCH($C161,'4. Master Ingredient Inventory'!$B$2:$B$109,0)),0)</f>
        <v>8.2000000000000003E-2</v>
      </c>
      <c r="H161" s="15">
        <f t="shared" si="9"/>
        <v>0.49199999999999999</v>
      </c>
      <c r="I161" s="13">
        <f t="shared" si="10"/>
        <v>6</v>
      </c>
      <c r="J161" s="15">
        <f t="shared" si="11"/>
        <v>0.49199999999999999</v>
      </c>
    </row>
    <row r="162" spans="1:10" ht="15" customHeight="1" x14ac:dyDescent="0.25">
      <c r="A162" s="13" t="s">
        <v>20</v>
      </c>
      <c r="B162" s="13" t="s">
        <v>19</v>
      </c>
      <c r="C162" s="13" t="s">
        <v>585</v>
      </c>
      <c r="D162" s="13">
        <v>2.5</v>
      </c>
      <c r="E162" s="13" t="s">
        <v>163</v>
      </c>
      <c r="F162" s="13">
        <f t="shared" si="8"/>
        <v>2.5</v>
      </c>
      <c r="G162" s="14">
        <f>IFERROR(INDEX('4. Master Ingredient Inventory'!$I$2:$I$109,MATCH($C162,'4. Master Ingredient Inventory'!$B$2:$B$109,0)),0)</f>
        <v>0.15</v>
      </c>
      <c r="H162" s="15">
        <f t="shared" si="9"/>
        <v>0.375</v>
      </c>
      <c r="I162" s="13">
        <f t="shared" si="10"/>
        <v>2.5</v>
      </c>
      <c r="J162" s="15">
        <f t="shared" si="11"/>
        <v>0.375</v>
      </c>
    </row>
    <row r="163" spans="1:10" ht="15" customHeight="1" x14ac:dyDescent="0.25">
      <c r="A163" s="13" t="s">
        <v>20</v>
      </c>
      <c r="B163" s="13" t="s">
        <v>19</v>
      </c>
      <c r="C163" s="13" t="s">
        <v>392</v>
      </c>
      <c r="D163" s="13">
        <v>1.5</v>
      </c>
      <c r="E163" s="13" t="s">
        <v>174</v>
      </c>
      <c r="F163" s="13">
        <f t="shared" si="8"/>
        <v>1.5</v>
      </c>
      <c r="G163" s="14">
        <f>IFERROR(INDEX('4. Master Ingredient Inventory'!$I$2:$I$109,MATCH($C163,'4. Master Ingredient Inventory'!$B$2:$B$109,0)),0)</f>
        <v>0.18</v>
      </c>
      <c r="H163" s="15">
        <f t="shared" si="9"/>
        <v>0.27</v>
      </c>
      <c r="I163" s="13">
        <f t="shared" si="10"/>
        <v>1.5</v>
      </c>
      <c r="J163" s="15">
        <f t="shared" si="11"/>
        <v>0.27</v>
      </c>
    </row>
    <row r="164" spans="1:10" ht="15" customHeight="1" x14ac:dyDescent="0.25">
      <c r="A164" s="13" t="s">
        <v>20</v>
      </c>
      <c r="B164" s="13" t="s">
        <v>19</v>
      </c>
      <c r="C164" s="13" t="s">
        <v>402</v>
      </c>
      <c r="D164" s="13">
        <v>1</v>
      </c>
      <c r="E164" s="13" t="s">
        <v>174</v>
      </c>
      <c r="F164" s="13">
        <f t="shared" si="8"/>
        <v>1</v>
      </c>
      <c r="G164" s="14">
        <f>IFERROR(INDEX('4. Master Ingredient Inventory'!$I$2:$I$109,MATCH($C164,'4. Master Ingredient Inventory'!$B$2:$B$109,0)),0)</f>
        <v>0.14000000000000001</v>
      </c>
      <c r="H164" s="15">
        <f t="shared" si="9"/>
        <v>0.14000000000000001</v>
      </c>
      <c r="I164" s="13">
        <f t="shared" si="10"/>
        <v>1</v>
      </c>
      <c r="J164" s="15">
        <f t="shared" si="11"/>
        <v>0.14000000000000001</v>
      </c>
    </row>
    <row r="165" spans="1:10" ht="15" customHeight="1" x14ac:dyDescent="0.25">
      <c r="A165" s="13" t="s">
        <v>20</v>
      </c>
      <c r="B165" s="13" t="s">
        <v>19</v>
      </c>
      <c r="C165" s="13" t="s">
        <v>333</v>
      </c>
      <c r="D165" s="13">
        <v>1.5</v>
      </c>
      <c r="E165" s="13" t="s">
        <v>174</v>
      </c>
      <c r="F165" s="13">
        <f t="shared" si="8"/>
        <v>1.5</v>
      </c>
      <c r="G165" s="14">
        <f>IFERROR(INDEX('4. Master Ingredient Inventory'!$I$2:$I$109,MATCH($C165,'4. Master Ingredient Inventory'!$B$2:$B$109,0)),0)</f>
        <v>7.4999999999999997E-2</v>
      </c>
      <c r="H165" s="15">
        <f t="shared" si="9"/>
        <v>0.11249999999999999</v>
      </c>
      <c r="I165" s="13">
        <f t="shared" si="10"/>
        <v>1.5</v>
      </c>
      <c r="J165" s="15">
        <f t="shared" si="11"/>
        <v>0.11249999999999999</v>
      </c>
    </row>
    <row r="166" spans="1:10" ht="15" customHeight="1" x14ac:dyDescent="0.25">
      <c r="A166" s="13" t="s">
        <v>20</v>
      </c>
      <c r="B166" s="13" t="s">
        <v>19</v>
      </c>
      <c r="C166" s="13" t="s">
        <v>660</v>
      </c>
      <c r="D166" s="13">
        <v>5</v>
      </c>
      <c r="E166" s="13" t="s">
        <v>163</v>
      </c>
      <c r="F166" s="13">
        <f t="shared" si="8"/>
        <v>5</v>
      </c>
      <c r="G166" s="14">
        <f>IFERROR(INDEX('4. Master Ingredient Inventory'!$I$2:$I$109,MATCH($C166,'4. Master Ingredient Inventory'!$B$2:$B$109,0)),0)</f>
        <v>2E-3</v>
      </c>
      <c r="H166" s="15">
        <f t="shared" si="9"/>
        <v>0.01</v>
      </c>
      <c r="I166" s="13">
        <f t="shared" si="10"/>
        <v>5</v>
      </c>
      <c r="J166" s="15">
        <f t="shared" si="11"/>
        <v>0.01</v>
      </c>
    </row>
    <row r="167" spans="1:10" ht="15" customHeight="1" x14ac:dyDescent="0.25">
      <c r="A167" s="13" t="s">
        <v>20</v>
      </c>
      <c r="B167" s="13" t="s">
        <v>19</v>
      </c>
      <c r="C167" s="13" t="s">
        <v>301</v>
      </c>
      <c r="D167" s="13">
        <v>0.5</v>
      </c>
      <c r="E167" s="13" t="s">
        <v>174</v>
      </c>
      <c r="F167" s="13">
        <f t="shared" si="8"/>
        <v>0.5</v>
      </c>
      <c r="G167" s="14">
        <f>IFERROR(INDEX('4. Master Ingredient Inventory'!$I$2:$I$109,MATCH($C167,'4. Master Ingredient Inventory'!$B$2:$B$109,0)),0)</f>
        <v>0.28000000000000003</v>
      </c>
      <c r="H167" s="15">
        <f t="shared" si="9"/>
        <v>0.14000000000000001</v>
      </c>
      <c r="I167" s="13">
        <f t="shared" si="10"/>
        <v>0.5</v>
      </c>
      <c r="J167" s="15">
        <f t="shared" si="11"/>
        <v>0.14000000000000001</v>
      </c>
    </row>
    <row r="168" spans="1:10" ht="15" customHeight="1" x14ac:dyDescent="0.25">
      <c r="A168" s="13" t="s">
        <v>21</v>
      </c>
      <c r="B168" s="13" t="s">
        <v>19</v>
      </c>
      <c r="C168" s="13" t="s">
        <v>293</v>
      </c>
      <c r="D168" s="13">
        <v>3</v>
      </c>
      <c r="E168" s="13" t="s">
        <v>222</v>
      </c>
      <c r="F168" s="13">
        <f t="shared" si="8"/>
        <v>3</v>
      </c>
      <c r="G168" s="14">
        <f>IFERROR(INDEX('4. Master Ingredient Inventory'!$I$2:$I$109,MATCH($C168,'4. Master Ingredient Inventory'!$B$2:$B$109,0)),0)</f>
        <v>13.77</v>
      </c>
      <c r="H168" s="15">
        <f t="shared" si="9"/>
        <v>41.31</v>
      </c>
      <c r="I168" s="13">
        <f t="shared" si="10"/>
        <v>3</v>
      </c>
      <c r="J168" s="15">
        <f t="shared" si="11"/>
        <v>41.31</v>
      </c>
    </row>
    <row r="169" spans="1:10" ht="15" customHeight="1" x14ac:dyDescent="0.25">
      <c r="A169" s="13" t="s">
        <v>21</v>
      </c>
      <c r="B169" s="13" t="s">
        <v>19</v>
      </c>
      <c r="C169" s="13" t="s">
        <v>170</v>
      </c>
      <c r="D169" s="13">
        <v>22.5</v>
      </c>
      <c r="E169" s="13" t="s">
        <v>174</v>
      </c>
      <c r="F169" s="13">
        <f t="shared" si="8"/>
        <v>22.5</v>
      </c>
      <c r="G169" s="14">
        <f>IFERROR(INDEX('4. Master Ingredient Inventory'!$I$2:$I$109,MATCH($C169,'4. Master Ingredient Inventory'!$B$2:$B$109,0)),0)</f>
        <v>5.8000000000000003E-2</v>
      </c>
      <c r="H169" s="15">
        <f t="shared" si="9"/>
        <v>1.3050000000000002</v>
      </c>
      <c r="I169" s="13">
        <f t="shared" si="10"/>
        <v>22.5</v>
      </c>
      <c r="J169" s="15">
        <f t="shared" si="11"/>
        <v>1.3050000000000002</v>
      </c>
    </row>
    <row r="170" spans="1:10" ht="15" customHeight="1" x14ac:dyDescent="0.25">
      <c r="A170" s="13" t="s">
        <v>21</v>
      </c>
      <c r="B170" s="13" t="s">
        <v>19</v>
      </c>
      <c r="C170" s="13" t="s">
        <v>333</v>
      </c>
      <c r="D170" s="13">
        <v>15</v>
      </c>
      <c r="E170" s="13" t="s">
        <v>174</v>
      </c>
      <c r="F170" s="13">
        <f t="shared" si="8"/>
        <v>15</v>
      </c>
      <c r="G170" s="14">
        <f>IFERROR(INDEX('4. Master Ingredient Inventory'!$I$2:$I$109,MATCH($C170,'4. Master Ingredient Inventory'!$B$2:$B$109,0)),0)</f>
        <v>7.4999999999999997E-2</v>
      </c>
      <c r="H170" s="15">
        <f t="shared" si="9"/>
        <v>1.125</v>
      </c>
      <c r="I170" s="13">
        <f t="shared" si="10"/>
        <v>15</v>
      </c>
      <c r="J170" s="15">
        <f t="shared" si="11"/>
        <v>1.125</v>
      </c>
    </row>
    <row r="171" spans="1:10" ht="15" customHeight="1" x14ac:dyDescent="0.25">
      <c r="A171" s="13" t="s">
        <v>21</v>
      </c>
      <c r="B171" s="13" t="s">
        <v>19</v>
      </c>
      <c r="C171" s="13" t="s">
        <v>188</v>
      </c>
      <c r="D171" s="13">
        <v>1</v>
      </c>
      <c r="E171" s="13" t="s">
        <v>174</v>
      </c>
      <c r="F171" s="13">
        <f t="shared" si="8"/>
        <v>1</v>
      </c>
      <c r="G171" s="14">
        <f>IFERROR(INDEX('4. Master Ingredient Inventory'!$I$2:$I$109,MATCH($C171,'4. Master Ingredient Inventory'!$B$2:$B$109,0)),0)</f>
        <v>0.14000000000000001</v>
      </c>
      <c r="H171" s="15">
        <f t="shared" si="9"/>
        <v>0.14000000000000001</v>
      </c>
      <c r="I171" s="13">
        <f t="shared" si="10"/>
        <v>1</v>
      </c>
      <c r="J171" s="15">
        <f t="shared" si="11"/>
        <v>0.14000000000000001</v>
      </c>
    </row>
    <row r="172" spans="1:10" ht="15" customHeight="1" x14ac:dyDescent="0.25">
      <c r="A172" s="13" t="s">
        <v>21</v>
      </c>
      <c r="B172" s="13" t="s">
        <v>19</v>
      </c>
      <c r="C172" s="13" t="s">
        <v>598</v>
      </c>
      <c r="D172" s="13">
        <v>1</v>
      </c>
      <c r="E172" s="13" t="s">
        <v>174</v>
      </c>
      <c r="F172" s="13">
        <f t="shared" si="8"/>
        <v>1</v>
      </c>
      <c r="G172" s="14">
        <f>IFERROR(INDEX('4. Master Ingredient Inventory'!$I$2:$I$109,MATCH($C172,'4. Master Ingredient Inventory'!$B$2:$B$109,0)),0)</f>
        <v>0.03</v>
      </c>
      <c r="H172" s="15">
        <f t="shared" si="9"/>
        <v>0.03</v>
      </c>
      <c r="I172" s="13">
        <f t="shared" si="10"/>
        <v>1</v>
      </c>
      <c r="J172" s="15">
        <f t="shared" si="11"/>
        <v>0.03</v>
      </c>
    </row>
    <row r="173" spans="1:10" ht="15" customHeight="1" x14ac:dyDescent="0.25">
      <c r="A173" s="13" t="s">
        <v>21</v>
      </c>
      <c r="B173" s="13" t="s">
        <v>19</v>
      </c>
      <c r="C173" s="13" t="s">
        <v>210</v>
      </c>
      <c r="D173" s="13">
        <v>0.5</v>
      </c>
      <c r="E173" s="13" t="s">
        <v>174</v>
      </c>
      <c r="F173" s="13">
        <f t="shared" si="8"/>
        <v>0.5</v>
      </c>
      <c r="G173" s="14">
        <f>IFERROR(INDEX('4. Master Ingredient Inventory'!$I$2:$I$109,MATCH($C173,'4. Master Ingredient Inventory'!$B$2:$B$109,0)),0)</f>
        <v>0.65</v>
      </c>
      <c r="H173" s="15">
        <f t="shared" si="9"/>
        <v>0.32500000000000001</v>
      </c>
      <c r="I173" s="13">
        <f t="shared" si="10"/>
        <v>0.5</v>
      </c>
      <c r="J173" s="15">
        <f t="shared" si="11"/>
        <v>0.32500000000000001</v>
      </c>
    </row>
    <row r="174" spans="1:10" ht="15" customHeight="1" x14ac:dyDescent="0.25">
      <c r="A174" s="13" t="s">
        <v>21</v>
      </c>
      <c r="B174" s="13" t="s">
        <v>19</v>
      </c>
      <c r="C174" s="13" t="s">
        <v>396</v>
      </c>
      <c r="D174" s="13">
        <v>0.5</v>
      </c>
      <c r="E174" s="13" t="s">
        <v>174</v>
      </c>
      <c r="F174" s="13">
        <f t="shared" si="8"/>
        <v>0.5</v>
      </c>
      <c r="G174" s="14">
        <f>IFERROR(INDEX('4. Master Ingredient Inventory'!$I$2:$I$109,MATCH($C174,'4. Master Ingredient Inventory'!$B$2:$B$109,0)),0)</f>
        <v>0.28000000000000003</v>
      </c>
      <c r="H174" s="15">
        <f t="shared" si="9"/>
        <v>0.14000000000000001</v>
      </c>
      <c r="I174" s="13">
        <f t="shared" si="10"/>
        <v>0.5</v>
      </c>
      <c r="J174" s="15">
        <f t="shared" si="11"/>
        <v>0.14000000000000001</v>
      </c>
    </row>
    <row r="175" spans="1:10" ht="15" customHeight="1" x14ac:dyDescent="0.25">
      <c r="A175" s="13" t="s">
        <v>21</v>
      </c>
      <c r="B175" s="13" t="s">
        <v>19</v>
      </c>
      <c r="C175" s="13" t="s">
        <v>323</v>
      </c>
      <c r="D175" s="13">
        <f>3*$T$1</f>
        <v>15</v>
      </c>
      <c r="E175" s="13" t="s">
        <v>163</v>
      </c>
      <c r="F175" s="13">
        <f t="shared" si="8"/>
        <v>15</v>
      </c>
      <c r="G175" s="14">
        <f>IFERROR(INDEX('4. Master Ingredient Inventory'!$I$2:$I$109,MATCH($C175,'4. Master Ingredient Inventory'!$B$2:$B$109,0)),0)</f>
        <v>0.09</v>
      </c>
      <c r="H175" s="15">
        <f t="shared" si="9"/>
        <v>1.3499999999999999</v>
      </c>
      <c r="I175" s="13">
        <f t="shared" si="10"/>
        <v>15</v>
      </c>
      <c r="J175" s="15">
        <f t="shared" si="11"/>
        <v>1.3499999999999999</v>
      </c>
    </row>
    <row r="176" spans="1:10" ht="15" customHeight="1" x14ac:dyDescent="0.25">
      <c r="A176" s="13" t="s">
        <v>21</v>
      </c>
      <c r="B176" s="13" t="s">
        <v>19</v>
      </c>
      <c r="C176" s="13" t="s">
        <v>411</v>
      </c>
      <c r="D176" s="13">
        <v>12.5</v>
      </c>
      <c r="E176" s="13" t="s">
        <v>174</v>
      </c>
      <c r="F176" s="13">
        <f t="shared" si="8"/>
        <v>12.5</v>
      </c>
      <c r="G176" s="14">
        <f>IFERROR(INDEX('4. Master Ingredient Inventory'!$I$2:$I$109,MATCH($C176,'4. Master Ingredient Inventory'!$B$2:$B$109,0)),0)</f>
        <v>0.42</v>
      </c>
      <c r="H176" s="15">
        <f t="shared" si="9"/>
        <v>5.25</v>
      </c>
      <c r="I176" s="13">
        <f t="shared" si="10"/>
        <v>12.5</v>
      </c>
      <c r="J176" s="15">
        <f t="shared" si="11"/>
        <v>5.25</v>
      </c>
    </row>
    <row r="177" spans="1:10" ht="15" customHeight="1" x14ac:dyDescent="0.25">
      <c r="A177" s="13" t="s">
        <v>21</v>
      </c>
      <c r="B177" s="13" t="s">
        <v>19</v>
      </c>
      <c r="C177" s="13" t="s">
        <v>447</v>
      </c>
      <c r="D177" s="13">
        <v>7.5</v>
      </c>
      <c r="E177" s="13" t="s">
        <v>174</v>
      </c>
      <c r="F177" s="13">
        <f t="shared" si="8"/>
        <v>7.5</v>
      </c>
      <c r="G177" s="14">
        <f>IFERROR(INDEX('4. Master Ingredient Inventory'!$I$2:$I$109,MATCH($C177,'4. Master Ingredient Inventory'!$B$2:$B$109,0)),0)</f>
        <v>9.5000000000000001E-2</v>
      </c>
      <c r="H177" s="15">
        <f t="shared" si="9"/>
        <v>0.71250000000000002</v>
      </c>
      <c r="I177" s="13">
        <f t="shared" si="10"/>
        <v>7.5</v>
      </c>
      <c r="J177" s="15">
        <f t="shared" si="11"/>
        <v>0.71250000000000002</v>
      </c>
    </row>
    <row r="178" spans="1:10" ht="15" customHeight="1" x14ac:dyDescent="0.25">
      <c r="A178" s="13" t="s">
        <v>21</v>
      </c>
      <c r="B178" s="13" t="s">
        <v>19</v>
      </c>
      <c r="C178" s="13" t="s">
        <v>330</v>
      </c>
      <c r="D178" s="13">
        <v>7.5</v>
      </c>
      <c r="E178" s="13" t="s">
        <v>174</v>
      </c>
      <c r="F178" s="13">
        <f t="shared" si="8"/>
        <v>7.5</v>
      </c>
      <c r="G178" s="14">
        <f>IFERROR(INDEX('4. Master Ingredient Inventory'!$I$2:$I$109,MATCH($C178,'4. Master Ingredient Inventory'!$B$2:$B$109,0)),0)</f>
        <v>0.18</v>
      </c>
      <c r="H178" s="15">
        <f t="shared" si="9"/>
        <v>1.3499999999999999</v>
      </c>
      <c r="I178" s="13">
        <f t="shared" si="10"/>
        <v>7.5</v>
      </c>
      <c r="J178" s="15">
        <f t="shared" si="11"/>
        <v>1.3499999999999999</v>
      </c>
    </row>
    <row r="179" spans="1:10" ht="15" customHeight="1" x14ac:dyDescent="0.25">
      <c r="A179" s="13" t="s">
        <v>21</v>
      </c>
      <c r="B179" s="13" t="s">
        <v>19</v>
      </c>
      <c r="C179" s="13" t="s">
        <v>618</v>
      </c>
      <c r="D179" s="13">
        <v>4</v>
      </c>
      <c r="E179" s="13" t="s">
        <v>163</v>
      </c>
      <c r="F179" s="13">
        <f t="shared" si="8"/>
        <v>4</v>
      </c>
      <c r="G179" s="14">
        <f>IFERROR(INDEX('4. Master Ingredient Inventory'!$I$2:$I$109,MATCH($C179,'4. Master Ingredient Inventory'!$B$2:$B$109,0)),0)</f>
        <v>6.5000000000000002E-2</v>
      </c>
      <c r="H179" s="15">
        <f t="shared" si="9"/>
        <v>0.26</v>
      </c>
      <c r="I179" s="13">
        <f t="shared" si="10"/>
        <v>4</v>
      </c>
      <c r="J179" s="15">
        <f t="shared" si="11"/>
        <v>0.26</v>
      </c>
    </row>
    <row r="180" spans="1:10" ht="15" customHeight="1" x14ac:dyDescent="0.25">
      <c r="A180" s="13" t="s">
        <v>21</v>
      </c>
      <c r="B180" s="13" t="s">
        <v>19</v>
      </c>
      <c r="C180" s="13" t="s">
        <v>585</v>
      </c>
      <c r="D180" s="13">
        <v>2</v>
      </c>
      <c r="E180" s="13" t="s">
        <v>163</v>
      </c>
      <c r="F180" s="13">
        <f t="shared" si="8"/>
        <v>2</v>
      </c>
      <c r="G180" s="14">
        <f>IFERROR(INDEX('4. Master Ingredient Inventory'!$I$2:$I$109,MATCH($C180,'4. Master Ingredient Inventory'!$B$2:$B$109,0)),0)</f>
        <v>0.15</v>
      </c>
      <c r="H180" s="15">
        <f t="shared" si="9"/>
        <v>0.3</v>
      </c>
      <c r="I180" s="13">
        <f t="shared" si="10"/>
        <v>2</v>
      </c>
      <c r="J180" s="15">
        <f t="shared" si="11"/>
        <v>0.3</v>
      </c>
    </row>
    <row r="181" spans="1:10" ht="15" customHeight="1" x14ac:dyDescent="0.25">
      <c r="A181" s="13" t="s">
        <v>21</v>
      </c>
      <c r="B181" s="13" t="s">
        <v>19</v>
      </c>
      <c r="C181" s="13" t="s">
        <v>392</v>
      </c>
      <c r="D181" s="13">
        <v>2</v>
      </c>
      <c r="E181" s="13" t="s">
        <v>174</v>
      </c>
      <c r="F181" s="13">
        <f t="shared" si="8"/>
        <v>2</v>
      </c>
      <c r="G181" s="14">
        <f>IFERROR(INDEX('4. Master Ingredient Inventory'!$I$2:$I$109,MATCH($C181,'4. Master Ingredient Inventory'!$B$2:$B$109,0)),0)</f>
        <v>0.18</v>
      </c>
      <c r="H181" s="15">
        <f t="shared" si="9"/>
        <v>0.36</v>
      </c>
      <c r="I181" s="13">
        <f t="shared" si="10"/>
        <v>2</v>
      </c>
      <c r="J181" s="15">
        <f t="shared" si="11"/>
        <v>0.36</v>
      </c>
    </row>
    <row r="182" spans="1:10" ht="15" customHeight="1" x14ac:dyDescent="0.25">
      <c r="A182" s="13" t="s">
        <v>21</v>
      </c>
      <c r="B182" s="13" t="s">
        <v>19</v>
      </c>
      <c r="C182" s="13" t="s">
        <v>402</v>
      </c>
      <c r="D182" s="13">
        <v>1</v>
      </c>
      <c r="E182" s="13" t="s">
        <v>174</v>
      </c>
      <c r="F182" s="13">
        <f t="shared" si="8"/>
        <v>1</v>
      </c>
      <c r="G182" s="14">
        <f>IFERROR(INDEX('4. Master Ingredient Inventory'!$I$2:$I$109,MATCH($C182,'4. Master Ingredient Inventory'!$B$2:$B$109,0)),0)</f>
        <v>0.14000000000000001</v>
      </c>
      <c r="H182" s="15">
        <f t="shared" si="9"/>
        <v>0.14000000000000001</v>
      </c>
      <c r="I182" s="13">
        <f t="shared" si="10"/>
        <v>1</v>
      </c>
      <c r="J182" s="15">
        <f t="shared" si="11"/>
        <v>0.14000000000000001</v>
      </c>
    </row>
    <row r="183" spans="1:10" ht="15" customHeight="1" x14ac:dyDescent="0.25">
      <c r="A183" s="13" t="s">
        <v>21</v>
      </c>
      <c r="B183" s="13" t="s">
        <v>19</v>
      </c>
      <c r="C183" s="13" t="s">
        <v>613</v>
      </c>
      <c r="D183" s="13">
        <v>1</v>
      </c>
      <c r="E183" s="13" t="s">
        <v>174</v>
      </c>
      <c r="F183" s="13">
        <f t="shared" si="8"/>
        <v>1</v>
      </c>
      <c r="G183" s="14">
        <f>IFERROR(INDEX('4. Master Ingredient Inventory'!$I$2:$I$109,MATCH($C183,'4. Master Ingredient Inventory'!$B$2:$B$109,0)),0)</f>
        <v>0.32</v>
      </c>
      <c r="H183" s="15">
        <f t="shared" si="9"/>
        <v>0.32</v>
      </c>
      <c r="I183" s="13">
        <f t="shared" si="10"/>
        <v>1</v>
      </c>
      <c r="J183" s="15">
        <f t="shared" si="11"/>
        <v>0.32</v>
      </c>
    </row>
    <row r="184" spans="1:10" ht="15" customHeight="1" x14ac:dyDescent="0.25">
      <c r="A184" s="13" t="s">
        <v>22</v>
      </c>
      <c r="B184" s="13" t="s">
        <v>19</v>
      </c>
      <c r="C184" s="13" t="s">
        <v>293</v>
      </c>
      <c r="D184" s="13">
        <v>3</v>
      </c>
      <c r="E184" s="13" t="s">
        <v>222</v>
      </c>
      <c r="F184" s="13">
        <f t="shared" si="8"/>
        <v>3</v>
      </c>
      <c r="G184" s="14">
        <f>IFERROR(INDEX('4. Master Ingredient Inventory'!$I$2:$I$109,MATCH($C184,'4. Master Ingredient Inventory'!$B$2:$B$109,0)),0)</f>
        <v>13.77</v>
      </c>
      <c r="H184" s="15">
        <f t="shared" si="9"/>
        <v>41.31</v>
      </c>
      <c r="I184" s="13">
        <f t="shared" si="10"/>
        <v>3</v>
      </c>
      <c r="J184" s="15">
        <f t="shared" si="11"/>
        <v>41.31</v>
      </c>
    </row>
    <row r="185" spans="1:10" ht="15" customHeight="1" x14ac:dyDescent="0.25">
      <c r="A185" s="13" t="s">
        <v>22</v>
      </c>
      <c r="B185" s="13" t="s">
        <v>19</v>
      </c>
      <c r="C185" s="13" t="s">
        <v>170</v>
      </c>
      <c r="D185" s="13">
        <v>22.5</v>
      </c>
      <c r="E185" s="13" t="s">
        <v>174</v>
      </c>
      <c r="F185" s="13">
        <f t="shared" si="8"/>
        <v>22.5</v>
      </c>
      <c r="G185" s="14">
        <f>IFERROR(INDEX('4. Master Ingredient Inventory'!$I$2:$I$109,MATCH($C185,'4. Master Ingredient Inventory'!$B$2:$B$109,0)),0)</f>
        <v>5.8000000000000003E-2</v>
      </c>
      <c r="H185" s="15">
        <f t="shared" si="9"/>
        <v>1.3050000000000002</v>
      </c>
      <c r="I185" s="13">
        <f t="shared" si="10"/>
        <v>22.5</v>
      </c>
      <c r="J185" s="15">
        <f t="shared" si="11"/>
        <v>1.3050000000000002</v>
      </c>
    </row>
    <row r="186" spans="1:10" ht="15" customHeight="1" x14ac:dyDescent="0.25">
      <c r="A186" s="13" t="s">
        <v>22</v>
      </c>
      <c r="B186" s="13" t="s">
        <v>19</v>
      </c>
      <c r="C186" s="13" t="s">
        <v>333</v>
      </c>
      <c r="D186" s="13">
        <v>15</v>
      </c>
      <c r="E186" s="13" t="s">
        <v>174</v>
      </c>
      <c r="F186" s="13">
        <f t="shared" si="8"/>
        <v>15</v>
      </c>
      <c r="G186" s="14">
        <f>IFERROR(INDEX('4. Master Ingredient Inventory'!$I$2:$I$109,MATCH($C186,'4. Master Ingredient Inventory'!$B$2:$B$109,0)),0)</f>
        <v>7.4999999999999997E-2</v>
      </c>
      <c r="H186" s="15">
        <f t="shared" si="9"/>
        <v>1.125</v>
      </c>
      <c r="I186" s="13">
        <f t="shared" si="10"/>
        <v>15</v>
      </c>
      <c r="J186" s="15">
        <f t="shared" si="11"/>
        <v>1.125</v>
      </c>
    </row>
    <row r="187" spans="1:10" ht="15" customHeight="1" x14ac:dyDescent="0.25">
      <c r="A187" s="13" t="s">
        <v>22</v>
      </c>
      <c r="B187" s="13" t="s">
        <v>19</v>
      </c>
      <c r="C187" s="13" t="s">
        <v>188</v>
      </c>
      <c r="D187" s="13">
        <v>1</v>
      </c>
      <c r="E187" s="13" t="s">
        <v>174</v>
      </c>
      <c r="F187" s="13">
        <f t="shared" si="8"/>
        <v>1</v>
      </c>
      <c r="G187" s="14">
        <f>IFERROR(INDEX('4. Master Ingredient Inventory'!$I$2:$I$109,MATCH($C187,'4. Master Ingredient Inventory'!$B$2:$B$109,0)),0)</f>
        <v>0.14000000000000001</v>
      </c>
      <c r="H187" s="15">
        <f t="shared" si="9"/>
        <v>0.14000000000000001</v>
      </c>
      <c r="I187" s="13">
        <f t="shared" si="10"/>
        <v>1</v>
      </c>
      <c r="J187" s="15">
        <f t="shared" si="11"/>
        <v>0.14000000000000001</v>
      </c>
    </row>
    <row r="188" spans="1:10" ht="15" customHeight="1" x14ac:dyDescent="0.25">
      <c r="A188" s="13" t="s">
        <v>22</v>
      </c>
      <c r="B188" s="13" t="s">
        <v>19</v>
      </c>
      <c r="C188" s="13" t="s">
        <v>598</v>
      </c>
      <c r="D188" s="13">
        <v>1</v>
      </c>
      <c r="E188" s="13" t="s">
        <v>174</v>
      </c>
      <c r="F188" s="13">
        <f t="shared" si="8"/>
        <v>1</v>
      </c>
      <c r="G188" s="14">
        <f>IFERROR(INDEX('4. Master Ingredient Inventory'!$I$2:$I$109,MATCH($C188,'4. Master Ingredient Inventory'!$B$2:$B$109,0)),0)</f>
        <v>0.03</v>
      </c>
      <c r="H188" s="15">
        <f t="shared" si="9"/>
        <v>0.03</v>
      </c>
      <c r="I188" s="13">
        <f t="shared" si="10"/>
        <v>1</v>
      </c>
      <c r="J188" s="15">
        <f t="shared" si="11"/>
        <v>0.03</v>
      </c>
    </row>
    <row r="189" spans="1:10" ht="15" customHeight="1" x14ac:dyDescent="0.25">
      <c r="A189" s="13" t="s">
        <v>22</v>
      </c>
      <c r="B189" s="13" t="s">
        <v>19</v>
      </c>
      <c r="C189" s="13" t="s">
        <v>210</v>
      </c>
      <c r="D189" s="13">
        <v>0.5</v>
      </c>
      <c r="E189" s="13" t="s">
        <v>174</v>
      </c>
      <c r="F189" s="13">
        <f t="shared" si="8"/>
        <v>0.5</v>
      </c>
      <c r="G189" s="14">
        <f>IFERROR(INDEX('4. Master Ingredient Inventory'!$I$2:$I$109,MATCH($C189,'4. Master Ingredient Inventory'!$B$2:$B$109,0)),0)</f>
        <v>0.65</v>
      </c>
      <c r="H189" s="15">
        <f t="shared" si="9"/>
        <v>0.32500000000000001</v>
      </c>
      <c r="I189" s="13">
        <f t="shared" si="10"/>
        <v>0.5</v>
      </c>
      <c r="J189" s="15">
        <f t="shared" si="11"/>
        <v>0.32500000000000001</v>
      </c>
    </row>
    <row r="190" spans="1:10" ht="15" customHeight="1" x14ac:dyDescent="0.25">
      <c r="A190" s="13" t="s">
        <v>22</v>
      </c>
      <c r="B190" s="13" t="s">
        <v>19</v>
      </c>
      <c r="C190" s="13" t="s">
        <v>396</v>
      </c>
      <c r="D190" s="13">
        <v>0.5</v>
      </c>
      <c r="E190" s="13" t="s">
        <v>174</v>
      </c>
      <c r="F190" s="13">
        <f t="shared" si="8"/>
        <v>0.5</v>
      </c>
      <c r="G190" s="14">
        <f>IFERROR(INDEX('4. Master Ingredient Inventory'!$I$2:$I$109,MATCH($C190,'4. Master Ingredient Inventory'!$B$2:$B$109,0)),0)</f>
        <v>0.28000000000000003</v>
      </c>
      <c r="H190" s="15">
        <f t="shared" si="9"/>
        <v>0.14000000000000001</v>
      </c>
      <c r="I190" s="13">
        <f t="shared" si="10"/>
        <v>0.5</v>
      </c>
      <c r="J190" s="15">
        <f t="shared" si="11"/>
        <v>0.14000000000000001</v>
      </c>
    </row>
    <row r="191" spans="1:10" ht="15" customHeight="1" x14ac:dyDescent="0.25">
      <c r="A191" s="13" t="s">
        <v>22</v>
      </c>
      <c r="B191" s="13" t="s">
        <v>19</v>
      </c>
      <c r="C191" s="13" t="s">
        <v>323</v>
      </c>
      <c r="D191" s="13">
        <f>3*$T$1</f>
        <v>15</v>
      </c>
      <c r="E191" s="13" t="s">
        <v>163</v>
      </c>
      <c r="F191" s="13">
        <f t="shared" si="8"/>
        <v>15</v>
      </c>
      <c r="G191" s="14">
        <f>IFERROR(INDEX('4. Master Ingredient Inventory'!$I$2:$I$109,MATCH($C191,'4. Master Ingredient Inventory'!$B$2:$B$109,0)),0)</f>
        <v>0.09</v>
      </c>
      <c r="H191" s="15">
        <f t="shared" si="9"/>
        <v>1.3499999999999999</v>
      </c>
      <c r="I191" s="13">
        <f t="shared" si="10"/>
        <v>15</v>
      </c>
      <c r="J191" s="15">
        <f t="shared" si="11"/>
        <v>1.3499999999999999</v>
      </c>
    </row>
    <row r="192" spans="1:10" ht="15" customHeight="1" x14ac:dyDescent="0.25">
      <c r="A192" s="13" t="s">
        <v>22</v>
      </c>
      <c r="B192" s="13" t="s">
        <v>19</v>
      </c>
      <c r="C192" s="13" t="s">
        <v>283</v>
      </c>
      <c r="D192" s="13">
        <v>17.5</v>
      </c>
      <c r="E192" s="13" t="s">
        <v>174</v>
      </c>
      <c r="F192" s="13">
        <f t="shared" si="8"/>
        <v>17.5</v>
      </c>
      <c r="G192" s="14">
        <f>IFERROR(INDEX('4. Master Ingredient Inventory'!$I$2:$I$109,MATCH($C192,'4. Master Ingredient Inventory'!$B$2:$B$109,0)),0)</f>
        <v>0.42</v>
      </c>
      <c r="H192" s="15">
        <f t="shared" si="9"/>
        <v>7.35</v>
      </c>
      <c r="I192" s="13">
        <f t="shared" si="10"/>
        <v>17.5</v>
      </c>
      <c r="J192" s="15">
        <f t="shared" si="11"/>
        <v>7.35</v>
      </c>
    </row>
    <row r="193" spans="1:10" ht="15" customHeight="1" x14ac:dyDescent="0.25">
      <c r="A193" s="13" t="s">
        <v>22</v>
      </c>
      <c r="B193" s="13" t="s">
        <v>19</v>
      </c>
      <c r="C193" s="13" t="s">
        <v>272</v>
      </c>
      <c r="D193" s="13">
        <v>7.5</v>
      </c>
      <c r="E193" s="13" t="s">
        <v>174</v>
      </c>
      <c r="F193" s="13">
        <f t="shared" si="8"/>
        <v>7.5</v>
      </c>
      <c r="G193" s="14">
        <f>IFERROR(INDEX('4. Master Ingredient Inventory'!$I$2:$I$109,MATCH($C193,'4. Master Ingredient Inventory'!$B$2:$B$109,0)),0)</f>
        <v>0.52</v>
      </c>
      <c r="H193" s="15">
        <f t="shared" si="9"/>
        <v>3.9000000000000004</v>
      </c>
      <c r="I193" s="13">
        <f t="shared" si="10"/>
        <v>7.5</v>
      </c>
      <c r="J193" s="15">
        <f t="shared" si="11"/>
        <v>3.9000000000000004</v>
      </c>
    </row>
    <row r="194" spans="1:10" ht="15" customHeight="1" x14ac:dyDescent="0.25">
      <c r="A194" s="13" t="s">
        <v>22</v>
      </c>
      <c r="B194" s="13" t="s">
        <v>19</v>
      </c>
      <c r="C194" s="13" t="s">
        <v>373</v>
      </c>
      <c r="D194" s="13">
        <v>5</v>
      </c>
      <c r="E194" s="13" t="s">
        <v>163</v>
      </c>
      <c r="F194" s="13">
        <f t="shared" si="8"/>
        <v>5</v>
      </c>
      <c r="G194" s="14">
        <f>IFERROR(INDEX('4. Master Ingredient Inventory'!$I$2:$I$109,MATCH($C194,'4. Master Ingredient Inventory'!$B$2:$B$109,0)),0)</f>
        <v>9.5000000000000001E-2</v>
      </c>
      <c r="H194" s="15">
        <f t="shared" si="9"/>
        <v>0.47499999999999998</v>
      </c>
      <c r="I194" s="13">
        <f t="shared" si="10"/>
        <v>5</v>
      </c>
      <c r="J194" s="15">
        <f t="shared" si="11"/>
        <v>0.47499999999999998</v>
      </c>
    </row>
    <row r="195" spans="1:10" ht="15" customHeight="1" x14ac:dyDescent="0.25">
      <c r="A195" s="13" t="s">
        <v>22</v>
      </c>
      <c r="B195" s="13" t="s">
        <v>19</v>
      </c>
      <c r="C195" s="13" t="s">
        <v>243</v>
      </c>
      <c r="D195" s="13">
        <v>2.5</v>
      </c>
      <c r="E195" s="13" t="s">
        <v>174</v>
      </c>
      <c r="F195" s="13">
        <f t="shared" si="8"/>
        <v>2.5</v>
      </c>
      <c r="G195" s="14">
        <f>IFERROR(INDEX('4. Master Ingredient Inventory'!$I$2:$I$109,MATCH($C195,'4. Master Ingredient Inventory'!$B$2:$B$109,0)),0)</f>
        <v>0.48</v>
      </c>
      <c r="H195" s="15">
        <f t="shared" si="9"/>
        <v>1.2</v>
      </c>
      <c r="I195" s="13">
        <f t="shared" si="10"/>
        <v>2.5</v>
      </c>
      <c r="J195" s="15">
        <f t="shared" si="11"/>
        <v>1.2</v>
      </c>
    </row>
    <row r="196" spans="1:10" ht="15" customHeight="1" x14ac:dyDescent="0.25">
      <c r="A196" s="13" t="s">
        <v>23</v>
      </c>
      <c r="B196" s="13" t="s">
        <v>24</v>
      </c>
      <c r="C196" s="13" t="s">
        <v>366</v>
      </c>
      <c r="D196" s="13">
        <v>100</v>
      </c>
      <c r="E196" s="13" t="s">
        <v>174</v>
      </c>
      <c r="F196" s="13">
        <f t="shared" ref="F196:F259" si="12">$D196*1</f>
        <v>100</v>
      </c>
      <c r="G196" s="14">
        <f>IFERROR(INDEX('4. Master Ingredient Inventory'!$I$2:$I$109,MATCH($C196,'4. Master Ingredient Inventory'!$B$2:$B$109,0)),0)</f>
        <v>0.15</v>
      </c>
      <c r="H196" s="15">
        <f t="shared" ref="H196:H259" si="13">$F196*$G196</f>
        <v>15</v>
      </c>
      <c r="I196" s="13">
        <f t="shared" ref="I196:I259" si="14">IF(AND($C196="Cooking Oil",$D196&gt;=100),$D196*$L$1,$F196)</f>
        <v>100</v>
      </c>
      <c r="J196" s="15">
        <f t="shared" ref="J196:J259" si="15">$I196*$G196</f>
        <v>15</v>
      </c>
    </row>
    <row r="197" spans="1:10" ht="15" customHeight="1" x14ac:dyDescent="0.25">
      <c r="A197" s="13" t="s">
        <v>23</v>
      </c>
      <c r="B197" s="13" t="s">
        <v>24</v>
      </c>
      <c r="C197" s="13" t="s">
        <v>243</v>
      </c>
      <c r="D197" s="13">
        <v>10</v>
      </c>
      <c r="E197" s="13" t="s">
        <v>174</v>
      </c>
      <c r="F197" s="13">
        <f t="shared" si="12"/>
        <v>10</v>
      </c>
      <c r="G197" s="14">
        <f>IFERROR(INDEX('4. Master Ingredient Inventory'!$I$2:$I$109,MATCH($C197,'4. Master Ingredient Inventory'!$B$2:$B$109,0)),0)</f>
        <v>0.48</v>
      </c>
      <c r="H197" s="15">
        <f t="shared" si="13"/>
        <v>4.8</v>
      </c>
      <c r="I197" s="13">
        <f t="shared" si="14"/>
        <v>10</v>
      </c>
      <c r="J197" s="15">
        <f t="shared" si="15"/>
        <v>4.8</v>
      </c>
    </row>
    <row r="198" spans="1:10" ht="15" customHeight="1" x14ac:dyDescent="0.25">
      <c r="A198" s="13" t="s">
        <v>23</v>
      </c>
      <c r="B198" s="13" t="s">
        <v>24</v>
      </c>
      <c r="C198" s="13" t="s">
        <v>159</v>
      </c>
      <c r="D198" s="13">
        <v>80</v>
      </c>
      <c r="E198" s="13" t="s">
        <v>163</v>
      </c>
      <c r="F198" s="13">
        <f t="shared" si="12"/>
        <v>80</v>
      </c>
      <c r="G198" s="14">
        <f>IFERROR(INDEX('4. Master Ingredient Inventory'!$I$2:$I$109,MATCH($C198,'4. Master Ingredient Inventory'!$B$2:$B$109,0)),0)</f>
        <v>0.3</v>
      </c>
      <c r="H198" s="15">
        <f t="shared" si="13"/>
        <v>24</v>
      </c>
      <c r="I198" s="13">
        <f t="shared" si="14"/>
        <v>80</v>
      </c>
      <c r="J198" s="15">
        <f t="shared" si="15"/>
        <v>24</v>
      </c>
    </row>
    <row r="199" spans="1:10" ht="15" customHeight="1" x14ac:dyDescent="0.25">
      <c r="A199" s="13" t="s">
        <v>23</v>
      </c>
      <c r="B199" s="13" t="s">
        <v>24</v>
      </c>
      <c r="C199" s="13" t="s">
        <v>536</v>
      </c>
      <c r="D199" s="13">
        <v>15</v>
      </c>
      <c r="E199" s="13" t="s">
        <v>174</v>
      </c>
      <c r="F199" s="13">
        <f t="shared" si="12"/>
        <v>15</v>
      </c>
      <c r="G199" s="14">
        <f>IFERROR(INDEX('4. Master Ingredient Inventory'!$I$2:$I$109,MATCH($C199,'4. Master Ingredient Inventory'!$B$2:$B$109,0)),0)</f>
        <v>0.85</v>
      </c>
      <c r="H199" s="15">
        <f t="shared" si="13"/>
        <v>12.75</v>
      </c>
      <c r="I199" s="13">
        <f t="shared" si="14"/>
        <v>15</v>
      </c>
      <c r="J199" s="15">
        <f t="shared" si="15"/>
        <v>12.75</v>
      </c>
    </row>
    <row r="200" spans="1:10" ht="15" customHeight="1" x14ac:dyDescent="0.25">
      <c r="A200" s="13" t="s">
        <v>23</v>
      </c>
      <c r="B200" s="13" t="s">
        <v>24</v>
      </c>
      <c r="C200" s="13" t="s">
        <v>648</v>
      </c>
      <c r="D200" s="13">
        <v>3</v>
      </c>
      <c r="E200" s="13" t="s">
        <v>163</v>
      </c>
      <c r="F200" s="13">
        <f t="shared" si="12"/>
        <v>3</v>
      </c>
      <c r="G200" s="14">
        <f>IFERROR(INDEX('4. Master Ingredient Inventory'!$I$2:$I$109,MATCH($C200,'4. Master Ingredient Inventory'!$B$2:$B$109,0)),0)</f>
        <v>5.6</v>
      </c>
      <c r="H200" s="15">
        <f t="shared" si="13"/>
        <v>16.799999999999997</v>
      </c>
      <c r="I200" s="13">
        <f t="shared" si="14"/>
        <v>3</v>
      </c>
      <c r="J200" s="15">
        <f t="shared" si="15"/>
        <v>16.799999999999997</v>
      </c>
    </row>
    <row r="201" spans="1:10" ht="15" customHeight="1" x14ac:dyDescent="0.25">
      <c r="A201" s="13" t="s">
        <v>23</v>
      </c>
      <c r="B201" s="13" t="s">
        <v>24</v>
      </c>
      <c r="C201" s="13" t="s">
        <v>392</v>
      </c>
      <c r="D201" s="13">
        <v>3</v>
      </c>
      <c r="E201" s="13" t="s">
        <v>174</v>
      </c>
      <c r="F201" s="13">
        <f t="shared" si="12"/>
        <v>3</v>
      </c>
      <c r="G201" s="14">
        <f>IFERROR(INDEX('4. Master Ingredient Inventory'!$I$2:$I$109,MATCH($C201,'4. Master Ingredient Inventory'!$B$2:$B$109,0)),0)</f>
        <v>0.18</v>
      </c>
      <c r="H201" s="15">
        <f t="shared" si="13"/>
        <v>0.54</v>
      </c>
      <c r="I201" s="13">
        <f t="shared" si="14"/>
        <v>3</v>
      </c>
      <c r="J201" s="15">
        <f t="shared" si="15"/>
        <v>0.54</v>
      </c>
    </row>
    <row r="202" spans="1:10" ht="15" customHeight="1" x14ac:dyDescent="0.25">
      <c r="A202" s="13" t="s">
        <v>23</v>
      </c>
      <c r="B202" s="13" t="s">
        <v>24</v>
      </c>
      <c r="C202" s="13" t="s">
        <v>598</v>
      </c>
      <c r="D202" s="13">
        <v>1.5</v>
      </c>
      <c r="E202" s="13" t="s">
        <v>174</v>
      </c>
      <c r="F202" s="13">
        <f t="shared" si="12"/>
        <v>1.5</v>
      </c>
      <c r="G202" s="14">
        <f>IFERROR(INDEX('4. Master Ingredient Inventory'!$I$2:$I$109,MATCH($C202,'4. Master Ingredient Inventory'!$B$2:$B$109,0)),0)</f>
        <v>0.03</v>
      </c>
      <c r="H202" s="15">
        <f t="shared" si="13"/>
        <v>4.4999999999999998E-2</v>
      </c>
      <c r="I202" s="13">
        <f t="shared" si="14"/>
        <v>1.5</v>
      </c>
      <c r="J202" s="15">
        <f t="shared" si="15"/>
        <v>4.4999999999999998E-2</v>
      </c>
    </row>
    <row r="203" spans="1:10" ht="15" customHeight="1" x14ac:dyDescent="0.25">
      <c r="A203" s="13" t="s">
        <v>23</v>
      </c>
      <c r="B203" s="13" t="s">
        <v>24</v>
      </c>
      <c r="C203" s="13" t="s">
        <v>210</v>
      </c>
      <c r="D203" s="13">
        <v>0.5</v>
      </c>
      <c r="E203" s="13" t="s">
        <v>174</v>
      </c>
      <c r="F203" s="13">
        <f t="shared" si="12"/>
        <v>0.5</v>
      </c>
      <c r="G203" s="14">
        <f>IFERROR(INDEX('4. Master Ingredient Inventory'!$I$2:$I$109,MATCH($C203,'4. Master Ingredient Inventory'!$B$2:$B$109,0)),0)</f>
        <v>0.65</v>
      </c>
      <c r="H203" s="15">
        <f t="shared" si="13"/>
        <v>0.32500000000000001</v>
      </c>
      <c r="I203" s="13">
        <f t="shared" si="14"/>
        <v>0.5</v>
      </c>
      <c r="J203" s="15">
        <f t="shared" si="15"/>
        <v>0.32500000000000001</v>
      </c>
    </row>
    <row r="204" spans="1:10" ht="15" customHeight="1" x14ac:dyDescent="0.25">
      <c r="A204" s="13" t="s">
        <v>25</v>
      </c>
      <c r="B204" s="13" t="s">
        <v>24</v>
      </c>
      <c r="C204" s="13" t="s">
        <v>475</v>
      </c>
      <c r="D204" s="13">
        <v>100</v>
      </c>
      <c r="E204" s="13" t="s">
        <v>174</v>
      </c>
      <c r="F204" s="13">
        <f t="shared" si="12"/>
        <v>100</v>
      </c>
      <c r="G204" s="14">
        <f>IFERROR(INDEX('4. Master Ingredient Inventory'!$I$2:$I$109,MATCH($C204,'4. Master Ingredient Inventory'!$B$2:$B$109,0)),0)</f>
        <v>0.155</v>
      </c>
      <c r="H204" s="15">
        <f t="shared" si="13"/>
        <v>15.5</v>
      </c>
      <c r="I204" s="13">
        <f t="shared" si="14"/>
        <v>100</v>
      </c>
      <c r="J204" s="15">
        <f t="shared" si="15"/>
        <v>15.5</v>
      </c>
    </row>
    <row r="205" spans="1:10" ht="15" customHeight="1" x14ac:dyDescent="0.25">
      <c r="A205" s="13" t="s">
        <v>25</v>
      </c>
      <c r="B205" s="13" t="s">
        <v>24</v>
      </c>
      <c r="C205" s="13" t="s">
        <v>263</v>
      </c>
      <c r="D205" s="13">
        <v>70</v>
      </c>
      <c r="E205" s="13" t="s">
        <v>174</v>
      </c>
      <c r="F205" s="13">
        <f t="shared" si="12"/>
        <v>70</v>
      </c>
      <c r="G205" s="14">
        <f>IFERROR(INDEX('4. Master Ingredient Inventory'!$I$2:$I$109,MATCH($C205,'4. Master Ingredient Inventory'!$B$2:$B$109,0)),0)</f>
        <v>0.30555555555555558</v>
      </c>
      <c r="H205" s="15">
        <f t="shared" si="13"/>
        <v>21.388888888888889</v>
      </c>
      <c r="I205" s="13">
        <f t="shared" si="14"/>
        <v>70</v>
      </c>
      <c r="J205" s="15">
        <f t="shared" si="15"/>
        <v>21.388888888888889</v>
      </c>
    </row>
    <row r="206" spans="1:10" ht="15" customHeight="1" x14ac:dyDescent="0.25">
      <c r="A206" s="13" t="s">
        <v>25</v>
      </c>
      <c r="B206" s="13" t="s">
        <v>24</v>
      </c>
      <c r="C206" s="13" t="s">
        <v>547</v>
      </c>
      <c r="D206" s="13">
        <v>35</v>
      </c>
      <c r="E206" s="13" t="s">
        <v>174</v>
      </c>
      <c r="F206" s="13">
        <f t="shared" si="12"/>
        <v>35</v>
      </c>
      <c r="G206" s="14">
        <f>IFERROR(INDEX('4. Master Ingredient Inventory'!$I$2:$I$109,MATCH($C206,'4. Master Ingredient Inventory'!$B$2:$B$109,0)),0)</f>
        <v>0.48</v>
      </c>
      <c r="H206" s="15">
        <f t="shared" si="13"/>
        <v>16.8</v>
      </c>
      <c r="I206" s="13">
        <f t="shared" si="14"/>
        <v>35</v>
      </c>
      <c r="J206" s="15">
        <f t="shared" si="15"/>
        <v>16.8</v>
      </c>
    </row>
    <row r="207" spans="1:10" ht="15" customHeight="1" x14ac:dyDescent="0.25">
      <c r="A207" s="13" t="s">
        <v>25</v>
      </c>
      <c r="B207" s="13" t="s">
        <v>24</v>
      </c>
      <c r="C207" s="13" t="s">
        <v>159</v>
      </c>
      <c r="D207" s="13">
        <v>40</v>
      </c>
      <c r="E207" s="13" t="s">
        <v>163</v>
      </c>
      <c r="F207" s="13">
        <f t="shared" si="12"/>
        <v>40</v>
      </c>
      <c r="G207" s="14">
        <f>IFERROR(INDEX('4. Master Ingredient Inventory'!$I$2:$I$109,MATCH($C207,'4. Master Ingredient Inventory'!$B$2:$B$109,0)),0)</f>
        <v>0.3</v>
      </c>
      <c r="H207" s="15">
        <f t="shared" si="13"/>
        <v>12</v>
      </c>
      <c r="I207" s="13">
        <f t="shared" si="14"/>
        <v>40</v>
      </c>
      <c r="J207" s="15">
        <f t="shared" si="15"/>
        <v>12</v>
      </c>
    </row>
    <row r="208" spans="1:10" ht="15" customHeight="1" x14ac:dyDescent="0.25">
      <c r="A208" s="13" t="s">
        <v>25</v>
      </c>
      <c r="B208" s="13" t="s">
        <v>24</v>
      </c>
      <c r="C208" s="13" t="s">
        <v>301</v>
      </c>
      <c r="D208" s="13">
        <v>1.5</v>
      </c>
      <c r="E208" s="13" t="s">
        <v>174</v>
      </c>
      <c r="F208" s="13">
        <f t="shared" si="12"/>
        <v>1.5</v>
      </c>
      <c r="G208" s="14">
        <f>IFERROR(INDEX('4. Master Ingredient Inventory'!$I$2:$I$109,MATCH($C208,'4. Master Ingredient Inventory'!$B$2:$B$109,0)),0)</f>
        <v>0.28000000000000003</v>
      </c>
      <c r="H208" s="15">
        <f t="shared" si="13"/>
        <v>0.42000000000000004</v>
      </c>
      <c r="I208" s="13">
        <f t="shared" si="14"/>
        <v>1.5</v>
      </c>
      <c r="J208" s="15">
        <f t="shared" si="15"/>
        <v>0.42000000000000004</v>
      </c>
    </row>
    <row r="209" spans="1:10" ht="15" customHeight="1" x14ac:dyDescent="0.25">
      <c r="A209" s="13" t="s">
        <v>25</v>
      </c>
      <c r="B209" s="13" t="s">
        <v>24</v>
      </c>
      <c r="C209" s="13" t="s">
        <v>392</v>
      </c>
      <c r="D209" s="13">
        <v>3</v>
      </c>
      <c r="E209" s="13" t="s">
        <v>174</v>
      </c>
      <c r="F209" s="13">
        <f t="shared" si="12"/>
        <v>3</v>
      </c>
      <c r="G209" s="14">
        <f>IFERROR(INDEX('4. Master Ingredient Inventory'!$I$2:$I$109,MATCH($C209,'4. Master Ingredient Inventory'!$B$2:$B$109,0)),0)</f>
        <v>0.18</v>
      </c>
      <c r="H209" s="15">
        <f t="shared" si="13"/>
        <v>0.54</v>
      </c>
      <c r="I209" s="13">
        <f t="shared" si="14"/>
        <v>3</v>
      </c>
      <c r="J209" s="15">
        <f t="shared" si="15"/>
        <v>0.54</v>
      </c>
    </row>
    <row r="210" spans="1:10" ht="15" customHeight="1" x14ac:dyDescent="0.25">
      <c r="A210" s="13" t="s">
        <v>25</v>
      </c>
      <c r="B210" s="13" t="s">
        <v>24</v>
      </c>
      <c r="C210" s="13" t="s">
        <v>536</v>
      </c>
      <c r="D210" s="13">
        <v>10</v>
      </c>
      <c r="E210" s="13" t="s">
        <v>174</v>
      </c>
      <c r="F210" s="13">
        <f t="shared" si="12"/>
        <v>10</v>
      </c>
      <c r="G210" s="14">
        <f>IFERROR(INDEX('4. Master Ingredient Inventory'!$I$2:$I$109,MATCH($C210,'4. Master Ingredient Inventory'!$B$2:$B$109,0)),0)</f>
        <v>0.85</v>
      </c>
      <c r="H210" s="15">
        <f t="shared" si="13"/>
        <v>8.5</v>
      </c>
      <c r="I210" s="13">
        <f t="shared" si="14"/>
        <v>10</v>
      </c>
      <c r="J210" s="15">
        <f t="shared" si="15"/>
        <v>8.5</v>
      </c>
    </row>
    <row r="211" spans="1:10" ht="15" customHeight="1" x14ac:dyDescent="0.25">
      <c r="A211" s="13" t="s">
        <v>25</v>
      </c>
      <c r="B211" s="13" t="s">
        <v>24</v>
      </c>
      <c r="C211" s="13" t="s">
        <v>507</v>
      </c>
      <c r="D211" s="13">
        <v>5</v>
      </c>
      <c r="E211" s="13" t="s">
        <v>163</v>
      </c>
      <c r="F211" s="13">
        <f t="shared" si="12"/>
        <v>5</v>
      </c>
      <c r="G211" s="14">
        <f>IFERROR(INDEX('4. Master Ingredient Inventory'!$I$2:$I$109,MATCH($C211,'4. Master Ingredient Inventory'!$B$2:$B$109,0)),0)</f>
        <v>0.42</v>
      </c>
      <c r="H211" s="15">
        <f t="shared" si="13"/>
        <v>2.1</v>
      </c>
      <c r="I211" s="13">
        <f t="shared" si="14"/>
        <v>5</v>
      </c>
      <c r="J211" s="15">
        <f t="shared" si="15"/>
        <v>2.1</v>
      </c>
    </row>
    <row r="212" spans="1:10" ht="15" customHeight="1" x14ac:dyDescent="0.25">
      <c r="A212" s="13" t="s">
        <v>25</v>
      </c>
      <c r="B212" s="13" t="s">
        <v>24</v>
      </c>
      <c r="C212" s="13" t="s">
        <v>598</v>
      </c>
      <c r="D212" s="13">
        <v>1</v>
      </c>
      <c r="E212" s="13" t="s">
        <v>174</v>
      </c>
      <c r="F212" s="13">
        <f t="shared" si="12"/>
        <v>1</v>
      </c>
      <c r="G212" s="14">
        <f>IFERROR(INDEX('4. Master Ingredient Inventory'!$I$2:$I$109,MATCH($C212,'4. Master Ingredient Inventory'!$B$2:$B$109,0)),0)</f>
        <v>0.03</v>
      </c>
      <c r="H212" s="15">
        <f t="shared" si="13"/>
        <v>0.03</v>
      </c>
      <c r="I212" s="13">
        <f t="shared" si="14"/>
        <v>1</v>
      </c>
      <c r="J212" s="15">
        <f t="shared" si="15"/>
        <v>0.03</v>
      </c>
    </row>
    <row r="213" spans="1:10" ht="15" customHeight="1" x14ac:dyDescent="0.25">
      <c r="A213" s="13" t="s">
        <v>25</v>
      </c>
      <c r="B213" s="13" t="s">
        <v>24</v>
      </c>
      <c r="C213" s="13" t="s">
        <v>210</v>
      </c>
      <c r="D213" s="13">
        <v>0.5</v>
      </c>
      <c r="E213" s="13" t="s">
        <v>174</v>
      </c>
      <c r="F213" s="13">
        <f t="shared" si="12"/>
        <v>0.5</v>
      </c>
      <c r="G213" s="14">
        <f>IFERROR(INDEX('4. Master Ingredient Inventory'!$I$2:$I$109,MATCH($C213,'4. Master Ingredient Inventory'!$B$2:$B$109,0)),0)</f>
        <v>0.65</v>
      </c>
      <c r="H213" s="15">
        <f t="shared" si="13"/>
        <v>0.32500000000000001</v>
      </c>
      <c r="I213" s="13">
        <f t="shared" si="14"/>
        <v>0.5</v>
      </c>
      <c r="J213" s="15">
        <f t="shared" si="15"/>
        <v>0.32500000000000001</v>
      </c>
    </row>
    <row r="214" spans="1:10" ht="15" customHeight="1" x14ac:dyDescent="0.25">
      <c r="A214" s="13" t="s">
        <v>26</v>
      </c>
      <c r="B214" s="13" t="s">
        <v>24</v>
      </c>
      <c r="C214" s="13" t="s">
        <v>366</v>
      </c>
      <c r="D214" s="13">
        <v>100</v>
      </c>
      <c r="E214" s="13" t="s">
        <v>174</v>
      </c>
      <c r="F214" s="13">
        <f t="shared" si="12"/>
        <v>100</v>
      </c>
      <c r="G214" s="14">
        <f>IFERROR(INDEX('4. Master Ingredient Inventory'!$I$2:$I$109,MATCH($C214,'4. Master Ingredient Inventory'!$B$2:$B$109,0)),0)</f>
        <v>0.15</v>
      </c>
      <c r="H214" s="15">
        <f t="shared" si="13"/>
        <v>15</v>
      </c>
      <c r="I214" s="13">
        <f t="shared" si="14"/>
        <v>100</v>
      </c>
      <c r="J214" s="15">
        <f t="shared" si="15"/>
        <v>15</v>
      </c>
    </row>
    <row r="215" spans="1:10" ht="15" customHeight="1" x14ac:dyDescent="0.25">
      <c r="A215" s="13" t="s">
        <v>26</v>
      </c>
      <c r="B215" s="13" t="s">
        <v>24</v>
      </c>
      <c r="C215" s="13" t="s">
        <v>443</v>
      </c>
      <c r="D215" s="13">
        <v>80</v>
      </c>
      <c r="E215" s="13" t="s">
        <v>174</v>
      </c>
      <c r="F215" s="13">
        <f t="shared" si="12"/>
        <v>80</v>
      </c>
      <c r="G215" s="14">
        <f>IFERROR(INDEX('4. Master Ingredient Inventory'!$I$2:$I$109,MATCH($C215,'4. Master Ingredient Inventory'!$B$2:$B$109,0)),0)</f>
        <v>0.34</v>
      </c>
      <c r="H215" s="15">
        <f t="shared" si="13"/>
        <v>27.200000000000003</v>
      </c>
      <c r="I215" s="13">
        <f t="shared" si="14"/>
        <v>80</v>
      </c>
      <c r="J215" s="15">
        <f t="shared" si="15"/>
        <v>27.200000000000003</v>
      </c>
    </row>
    <row r="216" spans="1:10" ht="15" customHeight="1" x14ac:dyDescent="0.25">
      <c r="A216" s="13" t="s">
        <v>26</v>
      </c>
      <c r="B216" s="13" t="s">
        <v>24</v>
      </c>
      <c r="C216" s="13" t="s">
        <v>511</v>
      </c>
      <c r="D216" s="13">
        <v>20</v>
      </c>
      <c r="E216" s="13" t="s">
        <v>174</v>
      </c>
      <c r="F216" s="13">
        <f t="shared" si="12"/>
        <v>20</v>
      </c>
      <c r="G216" s="14">
        <f>IFERROR(INDEX('4. Master Ingredient Inventory'!$I$2:$I$109,MATCH($C216,'4. Master Ingredient Inventory'!$B$2:$B$109,0)),0)</f>
        <v>0.09</v>
      </c>
      <c r="H216" s="15">
        <f t="shared" si="13"/>
        <v>1.7999999999999998</v>
      </c>
      <c r="I216" s="13">
        <f t="shared" si="14"/>
        <v>20</v>
      </c>
      <c r="J216" s="15">
        <f t="shared" si="15"/>
        <v>1.7999999999999998</v>
      </c>
    </row>
    <row r="217" spans="1:10" ht="15" customHeight="1" x14ac:dyDescent="0.25">
      <c r="A217" s="13" t="s">
        <v>26</v>
      </c>
      <c r="B217" s="13" t="s">
        <v>24</v>
      </c>
      <c r="C217" s="13" t="s">
        <v>392</v>
      </c>
      <c r="D217" s="13">
        <v>3</v>
      </c>
      <c r="E217" s="13" t="s">
        <v>174</v>
      </c>
      <c r="F217" s="13">
        <f t="shared" si="12"/>
        <v>3</v>
      </c>
      <c r="G217" s="14">
        <f>IFERROR(INDEX('4. Master Ingredient Inventory'!$I$2:$I$109,MATCH($C217,'4. Master Ingredient Inventory'!$B$2:$B$109,0)),0)</f>
        <v>0.18</v>
      </c>
      <c r="H217" s="15">
        <f t="shared" si="13"/>
        <v>0.54</v>
      </c>
      <c r="I217" s="13">
        <f t="shared" si="14"/>
        <v>3</v>
      </c>
      <c r="J217" s="15">
        <f t="shared" si="15"/>
        <v>0.54</v>
      </c>
    </row>
    <row r="218" spans="1:10" ht="15" customHeight="1" x14ac:dyDescent="0.25">
      <c r="A218" s="13" t="s">
        <v>26</v>
      </c>
      <c r="B218" s="13" t="s">
        <v>24</v>
      </c>
      <c r="C218" s="13" t="s">
        <v>159</v>
      </c>
      <c r="D218" s="13">
        <v>80</v>
      </c>
      <c r="E218" s="13" t="s">
        <v>163</v>
      </c>
      <c r="F218" s="13">
        <f t="shared" si="12"/>
        <v>80</v>
      </c>
      <c r="G218" s="14">
        <f>IFERROR(INDEX('4. Master Ingredient Inventory'!$I$2:$I$109,MATCH($C218,'4. Master Ingredient Inventory'!$B$2:$B$109,0)),0)</f>
        <v>0.3</v>
      </c>
      <c r="H218" s="15">
        <f t="shared" si="13"/>
        <v>24</v>
      </c>
      <c r="I218" s="13">
        <f t="shared" si="14"/>
        <v>80</v>
      </c>
      <c r="J218" s="15">
        <f t="shared" si="15"/>
        <v>24</v>
      </c>
    </row>
    <row r="219" spans="1:10" ht="15" customHeight="1" x14ac:dyDescent="0.25">
      <c r="A219" s="13" t="s">
        <v>26</v>
      </c>
      <c r="B219" s="13" t="s">
        <v>24</v>
      </c>
      <c r="C219" s="13" t="s">
        <v>536</v>
      </c>
      <c r="D219" s="13">
        <v>15</v>
      </c>
      <c r="E219" s="13" t="s">
        <v>174</v>
      </c>
      <c r="F219" s="13">
        <f t="shared" si="12"/>
        <v>15</v>
      </c>
      <c r="G219" s="14">
        <f>IFERROR(INDEX('4. Master Ingredient Inventory'!$I$2:$I$109,MATCH($C219,'4. Master Ingredient Inventory'!$B$2:$B$109,0)),0)</f>
        <v>0.85</v>
      </c>
      <c r="H219" s="15">
        <f t="shared" si="13"/>
        <v>12.75</v>
      </c>
      <c r="I219" s="13">
        <f t="shared" si="14"/>
        <v>15</v>
      </c>
      <c r="J219" s="15">
        <f t="shared" si="15"/>
        <v>12.75</v>
      </c>
    </row>
    <row r="220" spans="1:10" ht="15" customHeight="1" x14ac:dyDescent="0.25">
      <c r="A220" s="13" t="s">
        <v>26</v>
      </c>
      <c r="B220" s="13" t="s">
        <v>24</v>
      </c>
      <c r="C220" s="13" t="s">
        <v>243</v>
      </c>
      <c r="D220" s="13">
        <v>8</v>
      </c>
      <c r="E220" s="13" t="s">
        <v>174</v>
      </c>
      <c r="F220" s="13">
        <f t="shared" si="12"/>
        <v>8</v>
      </c>
      <c r="G220" s="14">
        <f>IFERROR(INDEX('4. Master Ingredient Inventory'!$I$2:$I$109,MATCH($C220,'4. Master Ingredient Inventory'!$B$2:$B$109,0)),0)</f>
        <v>0.48</v>
      </c>
      <c r="H220" s="15">
        <f t="shared" si="13"/>
        <v>3.84</v>
      </c>
      <c r="I220" s="13">
        <f t="shared" si="14"/>
        <v>8</v>
      </c>
      <c r="J220" s="15">
        <f t="shared" si="15"/>
        <v>3.84</v>
      </c>
    </row>
    <row r="221" spans="1:10" ht="15" customHeight="1" x14ac:dyDescent="0.25">
      <c r="A221" s="13" t="s">
        <v>26</v>
      </c>
      <c r="B221" s="13" t="s">
        <v>24</v>
      </c>
      <c r="C221" s="13" t="s">
        <v>210</v>
      </c>
      <c r="D221" s="13">
        <v>0.5</v>
      </c>
      <c r="E221" s="13" t="s">
        <v>174</v>
      </c>
      <c r="F221" s="13">
        <f t="shared" si="12"/>
        <v>0.5</v>
      </c>
      <c r="G221" s="14">
        <f>IFERROR(INDEX('4. Master Ingredient Inventory'!$I$2:$I$109,MATCH($C221,'4. Master Ingredient Inventory'!$B$2:$B$109,0)),0)</f>
        <v>0.65</v>
      </c>
      <c r="H221" s="15">
        <f t="shared" si="13"/>
        <v>0.32500000000000001</v>
      </c>
      <c r="I221" s="13">
        <f t="shared" si="14"/>
        <v>0.5</v>
      </c>
      <c r="J221" s="15">
        <f t="shared" si="15"/>
        <v>0.32500000000000001</v>
      </c>
    </row>
    <row r="222" spans="1:10" ht="15" customHeight="1" x14ac:dyDescent="0.25">
      <c r="A222" s="13" t="s">
        <v>26</v>
      </c>
      <c r="B222" s="13" t="s">
        <v>24</v>
      </c>
      <c r="C222" s="13" t="s">
        <v>598</v>
      </c>
      <c r="D222" s="13">
        <v>1</v>
      </c>
      <c r="E222" s="13" t="s">
        <v>174</v>
      </c>
      <c r="F222" s="13">
        <f t="shared" si="12"/>
        <v>1</v>
      </c>
      <c r="G222" s="14">
        <f>IFERROR(INDEX('4. Master Ingredient Inventory'!$I$2:$I$109,MATCH($C222,'4. Master Ingredient Inventory'!$B$2:$B$109,0)),0)</f>
        <v>0.03</v>
      </c>
      <c r="H222" s="15">
        <f t="shared" si="13"/>
        <v>0.03</v>
      </c>
      <c r="I222" s="13">
        <f t="shared" si="14"/>
        <v>1</v>
      </c>
      <c r="J222" s="15">
        <f t="shared" si="15"/>
        <v>0.03</v>
      </c>
    </row>
    <row r="223" spans="1:10" ht="15" customHeight="1" x14ac:dyDescent="0.25">
      <c r="A223" s="13" t="s">
        <v>27</v>
      </c>
      <c r="B223" s="13" t="s">
        <v>28</v>
      </c>
      <c r="C223" s="13" t="s">
        <v>293</v>
      </c>
      <c r="D223" s="13">
        <v>3</v>
      </c>
      <c r="E223" s="13" t="s">
        <v>222</v>
      </c>
      <c r="F223" s="13">
        <f t="shared" si="12"/>
        <v>3</v>
      </c>
      <c r="G223" s="14">
        <f>IFERROR(INDEX('4. Master Ingredient Inventory'!$I$2:$I$109,MATCH($C223,'4. Master Ingredient Inventory'!$B$2:$B$109,0)),0)</f>
        <v>13.77</v>
      </c>
      <c r="H223" s="15">
        <f t="shared" si="13"/>
        <v>41.31</v>
      </c>
      <c r="I223" s="13">
        <f t="shared" si="14"/>
        <v>3</v>
      </c>
      <c r="J223" s="15">
        <f t="shared" si="15"/>
        <v>41.31</v>
      </c>
    </row>
    <row r="224" spans="1:10" ht="15" customHeight="1" x14ac:dyDescent="0.25">
      <c r="A224" s="13" t="s">
        <v>27</v>
      </c>
      <c r="B224" s="13" t="s">
        <v>28</v>
      </c>
      <c r="C224" s="13" t="s">
        <v>170</v>
      </c>
      <c r="D224" s="13">
        <v>15</v>
      </c>
      <c r="E224" s="13" t="s">
        <v>174</v>
      </c>
      <c r="F224" s="13">
        <f t="shared" si="12"/>
        <v>15</v>
      </c>
      <c r="G224" s="14">
        <f>IFERROR(INDEX('4. Master Ingredient Inventory'!$I$2:$I$109,MATCH($C224,'4. Master Ingredient Inventory'!$B$2:$B$109,0)),0)</f>
        <v>5.8000000000000003E-2</v>
      </c>
      <c r="H224" s="15">
        <f t="shared" si="13"/>
        <v>0.87</v>
      </c>
      <c r="I224" s="13">
        <f t="shared" si="14"/>
        <v>15</v>
      </c>
      <c r="J224" s="15">
        <f t="shared" si="15"/>
        <v>0.87</v>
      </c>
    </row>
    <row r="225" spans="1:10" ht="15" customHeight="1" x14ac:dyDescent="0.25">
      <c r="A225" s="13" t="s">
        <v>27</v>
      </c>
      <c r="B225" s="13" t="s">
        <v>28</v>
      </c>
      <c r="C225" s="13" t="s">
        <v>333</v>
      </c>
      <c r="D225" s="13">
        <v>15</v>
      </c>
      <c r="E225" s="13" t="s">
        <v>174</v>
      </c>
      <c r="F225" s="13">
        <f t="shared" si="12"/>
        <v>15</v>
      </c>
      <c r="G225" s="14">
        <f>IFERROR(INDEX('4. Master Ingredient Inventory'!$I$2:$I$109,MATCH($C225,'4. Master Ingredient Inventory'!$B$2:$B$109,0)),0)</f>
        <v>7.4999999999999997E-2</v>
      </c>
      <c r="H225" s="15">
        <f t="shared" si="13"/>
        <v>1.125</v>
      </c>
      <c r="I225" s="13">
        <f t="shared" si="14"/>
        <v>15</v>
      </c>
      <c r="J225" s="15">
        <f t="shared" si="15"/>
        <v>1.125</v>
      </c>
    </row>
    <row r="226" spans="1:10" ht="15" customHeight="1" x14ac:dyDescent="0.25">
      <c r="A226" s="13" t="s">
        <v>27</v>
      </c>
      <c r="B226" s="13" t="s">
        <v>28</v>
      </c>
      <c r="C226" s="13" t="s">
        <v>598</v>
      </c>
      <c r="D226" s="13">
        <v>2</v>
      </c>
      <c r="E226" s="13" t="s">
        <v>174</v>
      </c>
      <c r="F226" s="13">
        <f t="shared" si="12"/>
        <v>2</v>
      </c>
      <c r="G226" s="14">
        <f>IFERROR(INDEX('4. Master Ingredient Inventory'!$I$2:$I$109,MATCH($C226,'4. Master Ingredient Inventory'!$B$2:$B$109,0)),0)</f>
        <v>0.03</v>
      </c>
      <c r="H226" s="15">
        <f t="shared" si="13"/>
        <v>0.06</v>
      </c>
      <c r="I226" s="13">
        <f t="shared" si="14"/>
        <v>2</v>
      </c>
      <c r="J226" s="15">
        <f t="shared" si="15"/>
        <v>0.06</v>
      </c>
    </row>
    <row r="227" spans="1:10" ht="15" customHeight="1" x14ac:dyDescent="0.25">
      <c r="A227" s="13" t="s">
        <v>27</v>
      </c>
      <c r="B227" s="13" t="s">
        <v>28</v>
      </c>
      <c r="C227" s="13" t="s">
        <v>210</v>
      </c>
      <c r="D227" s="13">
        <v>0.5</v>
      </c>
      <c r="E227" s="13" t="s">
        <v>174</v>
      </c>
      <c r="F227" s="13">
        <f t="shared" si="12"/>
        <v>0.5</v>
      </c>
      <c r="G227" s="14">
        <f>IFERROR(INDEX('4. Master Ingredient Inventory'!$I$2:$I$109,MATCH($C227,'4. Master Ingredient Inventory'!$B$2:$B$109,0)),0)</f>
        <v>0.65</v>
      </c>
      <c r="H227" s="15">
        <f t="shared" si="13"/>
        <v>0.32500000000000001</v>
      </c>
      <c r="I227" s="13">
        <f t="shared" si="14"/>
        <v>0.5</v>
      </c>
      <c r="J227" s="15">
        <f t="shared" si="15"/>
        <v>0.32500000000000001</v>
      </c>
    </row>
    <row r="228" spans="1:10" ht="15" customHeight="1" x14ac:dyDescent="0.25">
      <c r="A228" s="13" t="s">
        <v>27</v>
      </c>
      <c r="B228" s="13" t="s">
        <v>28</v>
      </c>
      <c r="C228" s="13" t="s">
        <v>396</v>
      </c>
      <c r="D228" s="13">
        <v>1</v>
      </c>
      <c r="E228" s="13" t="s">
        <v>174</v>
      </c>
      <c r="F228" s="13">
        <f t="shared" si="12"/>
        <v>1</v>
      </c>
      <c r="G228" s="14">
        <f>IFERROR(INDEX('4. Master Ingredient Inventory'!$I$2:$I$109,MATCH($C228,'4. Master Ingredient Inventory'!$B$2:$B$109,0)),0)</f>
        <v>0.28000000000000003</v>
      </c>
      <c r="H228" s="15">
        <f t="shared" si="13"/>
        <v>0.28000000000000003</v>
      </c>
      <c r="I228" s="13">
        <f t="shared" si="14"/>
        <v>1</v>
      </c>
      <c r="J228" s="15">
        <f t="shared" si="15"/>
        <v>0.28000000000000003</v>
      </c>
    </row>
    <row r="229" spans="1:10" ht="15" customHeight="1" x14ac:dyDescent="0.25">
      <c r="A229" s="13" t="s">
        <v>27</v>
      </c>
      <c r="B229" s="13" t="s">
        <v>28</v>
      </c>
      <c r="C229" s="13" t="s">
        <v>323</v>
      </c>
      <c r="D229" s="13">
        <v>250</v>
      </c>
      <c r="E229" s="13" t="s">
        <v>163</v>
      </c>
      <c r="F229" s="13">
        <f t="shared" si="12"/>
        <v>250</v>
      </c>
      <c r="G229" s="14">
        <f>IFERROR(INDEX('4. Master Ingredient Inventory'!$I$2:$I$109,MATCH($C229,'4. Master Ingredient Inventory'!$B$2:$B$109,0)),0)</f>
        <v>0.09</v>
      </c>
      <c r="H229" s="15">
        <f t="shared" si="13"/>
        <v>22.5</v>
      </c>
      <c r="I229" s="13">
        <f t="shared" si="14"/>
        <v>20</v>
      </c>
      <c r="J229" s="15">
        <f t="shared" si="15"/>
        <v>1.7999999999999998</v>
      </c>
    </row>
    <row r="230" spans="1:10" ht="15" customHeight="1" x14ac:dyDescent="0.25">
      <c r="A230" s="13" t="s">
        <v>27</v>
      </c>
      <c r="B230" s="13" t="s">
        <v>28</v>
      </c>
      <c r="C230" s="13" t="s">
        <v>411</v>
      </c>
      <c r="D230" s="13">
        <v>20</v>
      </c>
      <c r="E230" s="13" t="s">
        <v>174</v>
      </c>
      <c r="F230" s="13">
        <f t="shared" si="12"/>
        <v>20</v>
      </c>
      <c r="G230" s="14">
        <f>IFERROR(INDEX('4. Master Ingredient Inventory'!$I$2:$I$109,MATCH($C230,'4. Master Ingredient Inventory'!$B$2:$B$109,0)),0)</f>
        <v>0.42</v>
      </c>
      <c r="H230" s="15">
        <f t="shared" si="13"/>
        <v>8.4</v>
      </c>
      <c r="I230" s="13">
        <f t="shared" si="14"/>
        <v>20</v>
      </c>
      <c r="J230" s="15">
        <f t="shared" si="15"/>
        <v>8.4</v>
      </c>
    </row>
    <row r="231" spans="1:10" ht="15" customHeight="1" x14ac:dyDescent="0.25">
      <c r="A231" s="13" t="s">
        <v>27</v>
      </c>
      <c r="B231" s="13" t="s">
        <v>28</v>
      </c>
      <c r="C231" s="13" t="s">
        <v>447</v>
      </c>
      <c r="D231" s="13">
        <v>15</v>
      </c>
      <c r="E231" s="13" t="s">
        <v>174</v>
      </c>
      <c r="F231" s="13">
        <f t="shared" si="12"/>
        <v>15</v>
      </c>
      <c r="G231" s="14">
        <f>IFERROR(INDEX('4. Master Ingredient Inventory'!$I$2:$I$109,MATCH($C231,'4. Master Ingredient Inventory'!$B$2:$B$109,0)),0)</f>
        <v>9.5000000000000001E-2</v>
      </c>
      <c r="H231" s="15">
        <f t="shared" si="13"/>
        <v>1.425</v>
      </c>
      <c r="I231" s="13">
        <f t="shared" si="14"/>
        <v>15</v>
      </c>
      <c r="J231" s="15">
        <f t="shared" si="15"/>
        <v>1.425</v>
      </c>
    </row>
    <row r="232" spans="1:10" ht="15" customHeight="1" x14ac:dyDescent="0.25">
      <c r="A232" s="13" t="s">
        <v>27</v>
      </c>
      <c r="B232" s="13" t="s">
        <v>28</v>
      </c>
      <c r="C232" s="13" t="s">
        <v>618</v>
      </c>
      <c r="D232" s="13">
        <v>10</v>
      </c>
      <c r="E232" s="13" t="s">
        <v>163</v>
      </c>
      <c r="F232" s="13">
        <f t="shared" si="12"/>
        <v>10</v>
      </c>
      <c r="G232" s="14">
        <f>IFERROR(INDEX('4. Master Ingredient Inventory'!$I$2:$I$109,MATCH($C232,'4. Master Ingredient Inventory'!$B$2:$B$109,0)),0)</f>
        <v>6.5000000000000002E-2</v>
      </c>
      <c r="H232" s="15">
        <f t="shared" si="13"/>
        <v>0.65</v>
      </c>
      <c r="I232" s="13">
        <f t="shared" si="14"/>
        <v>10</v>
      </c>
      <c r="J232" s="15">
        <f t="shared" si="15"/>
        <v>0.65</v>
      </c>
    </row>
    <row r="233" spans="1:10" ht="15" customHeight="1" x14ac:dyDescent="0.25">
      <c r="A233" s="13" t="s">
        <v>27</v>
      </c>
      <c r="B233" s="13" t="s">
        <v>28</v>
      </c>
      <c r="C233" s="13" t="s">
        <v>422</v>
      </c>
      <c r="D233" s="13">
        <v>10</v>
      </c>
      <c r="E233" s="13" t="s">
        <v>174</v>
      </c>
      <c r="F233" s="13">
        <f t="shared" si="12"/>
        <v>10</v>
      </c>
      <c r="G233" s="14">
        <f>IFERROR(INDEX('4. Master Ingredient Inventory'!$I$2:$I$109,MATCH($C233,'4. Master Ingredient Inventory'!$B$2:$B$109,0)),0)</f>
        <v>0.32</v>
      </c>
      <c r="H233" s="15">
        <f t="shared" si="13"/>
        <v>3.2</v>
      </c>
      <c r="I233" s="13">
        <f t="shared" si="14"/>
        <v>10</v>
      </c>
      <c r="J233" s="15">
        <f t="shared" si="15"/>
        <v>3.2</v>
      </c>
    </row>
    <row r="234" spans="1:10" ht="15" customHeight="1" x14ac:dyDescent="0.25">
      <c r="A234" s="13" t="s">
        <v>27</v>
      </c>
      <c r="B234" s="13" t="s">
        <v>28</v>
      </c>
      <c r="C234" s="13" t="s">
        <v>585</v>
      </c>
      <c r="D234" s="13">
        <v>5</v>
      </c>
      <c r="E234" s="13" t="s">
        <v>163</v>
      </c>
      <c r="F234" s="13">
        <f t="shared" si="12"/>
        <v>5</v>
      </c>
      <c r="G234" s="14">
        <f>IFERROR(INDEX('4. Master Ingredient Inventory'!$I$2:$I$109,MATCH($C234,'4. Master Ingredient Inventory'!$B$2:$B$109,0)),0)</f>
        <v>0.15</v>
      </c>
      <c r="H234" s="15">
        <f t="shared" si="13"/>
        <v>0.75</v>
      </c>
      <c r="I234" s="13">
        <f t="shared" si="14"/>
        <v>5</v>
      </c>
      <c r="J234" s="15">
        <f t="shared" si="15"/>
        <v>0.75</v>
      </c>
    </row>
    <row r="235" spans="1:10" ht="15" customHeight="1" x14ac:dyDescent="0.25">
      <c r="A235" s="13" t="s">
        <v>27</v>
      </c>
      <c r="B235" s="13" t="s">
        <v>28</v>
      </c>
      <c r="C235" s="13" t="s">
        <v>384</v>
      </c>
      <c r="D235" s="13">
        <v>1</v>
      </c>
      <c r="E235" s="13" t="s">
        <v>386</v>
      </c>
      <c r="F235" s="13">
        <f t="shared" si="12"/>
        <v>1</v>
      </c>
      <c r="G235" s="14">
        <f>IFERROR(INDEX('4. Master Ingredient Inventory'!$I$2:$I$109,MATCH($C235,'4. Master Ingredient Inventory'!$B$2:$B$109,0)),0)</f>
        <v>0.9</v>
      </c>
      <c r="H235" s="15">
        <f t="shared" si="13"/>
        <v>0.9</v>
      </c>
      <c r="I235" s="13">
        <f t="shared" si="14"/>
        <v>1</v>
      </c>
      <c r="J235" s="15">
        <f t="shared" si="15"/>
        <v>0.9</v>
      </c>
    </row>
    <row r="236" spans="1:10" ht="15" customHeight="1" x14ac:dyDescent="0.25">
      <c r="A236" s="13" t="s">
        <v>27</v>
      </c>
      <c r="B236" s="13" t="s">
        <v>28</v>
      </c>
      <c r="C236" s="13" t="s">
        <v>402</v>
      </c>
      <c r="D236" s="13">
        <v>3</v>
      </c>
      <c r="E236" s="13" t="s">
        <v>174</v>
      </c>
      <c r="F236" s="13">
        <f t="shared" si="12"/>
        <v>3</v>
      </c>
      <c r="G236" s="14">
        <f>IFERROR(INDEX('4. Master Ingredient Inventory'!$I$2:$I$109,MATCH($C236,'4. Master Ingredient Inventory'!$B$2:$B$109,0)),0)</f>
        <v>0.14000000000000001</v>
      </c>
      <c r="H236" s="15">
        <f t="shared" si="13"/>
        <v>0.42000000000000004</v>
      </c>
      <c r="I236" s="13">
        <f t="shared" si="14"/>
        <v>3</v>
      </c>
      <c r="J236" s="15">
        <f t="shared" si="15"/>
        <v>0.42000000000000004</v>
      </c>
    </row>
    <row r="237" spans="1:10" ht="15" customHeight="1" x14ac:dyDescent="0.25">
      <c r="A237" s="13" t="s">
        <v>27</v>
      </c>
      <c r="B237" s="13" t="s">
        <v>28</v>
      </c>
      <c r="C237" s="13" t="s">
        <v>608</v>
      </c>
      <c r="D237" s="13">
        <v>3</v>
      </c>
      <c r="E237" s="13" t="s">
        <v>163</v>
      </c>
      <c r="F237" s="13">
        <f t="shared" si="12"/>
        <v>3</v>
      </c>
      <c r="G237" s="14">
        <f>IFERROR(INDEX('4. Master Ingredient Inventory'!$I$2:$I$109,MATCH($C237,'4. Master Ingredient Inventory'!$B$2:$B$109,0)),0)</f>
        <v>0.72</v>
      </c>
      <c r="H237" s="15">
        <f t="shared" si="13"/>
        <v>2.16</v>
      </c>
      <c r="I237" s="13">
        <f t="shared" si="14"/>
        <v>3</v>
      </c>
      <c r="J237" s="15">
        <f t="shared" si="15"/>
        <v>2.16</v>
      </c>
    </row>
    <row r="238" spans="1:10" ht="15" customHeight="1" x14ac:dyDescent="0.25">
      <c r="A238" s="13" t="s">
        <v>27</v>
      </c>
      <c r="B238" s="13" t="s">
        <v>28</v>
      </c>
      <c r="C238" s="13" t="s">
        <v>316</v>
      </c>
      <c r="D238" s="13">
        <v>180</v>
      </c>
      <c r="E238" s="13" t="s">
        <v>174</v>
      </c>
      <c r="F238" s="13">
        <f t="shared" si="12"/>
        <v>180</v>
      </c>
      <c r="G238" s="14">
        <f>IFERROR(INDEX('4. Master Ingredient Inventory'!$I$2:$I$109,MATCH($C238,'4. Master Ingredient Inventory'!$B$2:$B$109,0)),0)</f>
        <v>4.8000000000000001E-2</v>
      </c>
      <c r="H238" s="15">
        <f t="shared" si="13"/>
        <v>8.64</v>
      </c>
      <c r="I238" s="13">
        <f t="shared" si="14"/>
        <v>180</v>
      </c>
      <c r="J238" s="15">
        <f t="shared" si="15"/>
        <v>8.64</v>
      </c>
    </row>
    <row r="239" spans="1:10" ht="15" customHeight="1" x14ac:dyDescent="0.25">
      <c r="A239" s="13" t="s">
        <v>27</v>
      </c>
      <c r="B239" s="13" t="s">
        <v>28</v>
      </c>
      <c r="C239" s="13" t="s">
        <v>452</v>
      </c>
      <c r="D239" s="13">
        <v>35</v>
      </c>
      <c r="E239" s="13" t="s">
        <v>174</v>
      </c>
      <c r="F239" s="13">
        <f t="shared" si="12"/>
        <v>35</v>
      </c>
      <c r="G239" s="14">
        <f>IFERROR(INDEX('4. Master Ingredient Inventory'!$I$2:$I$109,MATCH($C239,'4. Master Ingredient Inventory'!$B$2:$B$109,0)),0)</f>
        <v>0.28000000000000003</v>
      </c>
      <c r="H239" s="15">
        <f t="shared" si="13"/>
        <v>9.8000000000000007</v>
      </c>
      <c r="I239" s="13">
        <f t="shared" si="14"/>
        <v>35</v>
      </c>
      <c r="J239" s="15">
        <f t="shared" si="15"/>
        <v>9.8000000000000007</v>
      </c>
    </row>
    <row r="240" spans="1:10" ht="15" customHeight="1" x14ac:dyDescent="0.25">
      <c r="A240" s="13" t="s">
        <v>27</v>
      </c>
      <c r="B240" s="13" t="s">
        <v>28</v>
      </c>
      <c r="C240" s="13" t="s">
        <v>339</v>
      </c>
      <c r="D240" s="13">
        <v>30</v>
      </c>
      <c r="E240" s="13" t="s">
        <v>174</v>
      </c>
      <c r="F240" s="13">
        <f t="shared" si="12"/>
        <v>30</v>
      </c>
      <c r="G240" s="14">
        <f>IFERROR(INDEX('4. Master Ingredient Inventory'!$I$2:$I$109,MATCH($C240,'4. Master Ingredient Inventory'!$B$2:$B$109,0)),0)</f>
        <v>5.5E-2</v>
      </c>
      <c r="H240" s="15">
        <f t="shared" si="13"/>
        <v>1.65</v>
      </c>
      <c r="I240" s="13">
        <f t="shared" si="14"/>
        <v>30</v>
      </c>
      <c r="J240" s="15">
        <f t="shared" si="15"/>
        <v>1.65</v>
      </c>
    </row>
    <row r="241" spans="1:10" ht="15" customHeight="1" x14ac:dyDescent="0.25">
      <c r="A241" s="13" t="s">
        <v>27</v>
      </c>
      <c r="B241" s="13" t="s">
        <v>28</v>
      </c>
      <c r="C241" s="13" t="s">
        <v>356</v>
      </c>
      <c r="D241" s="13">
        <v>1</v>
      </c>
      <c r="E241" s="13" t="s">
        <v>222</v>
      </c>
      <c r="F241" s="13">
        <f t="shared" si="12"/>
        <v>1</v>
      </c>
      <c r="G241" s="14">
        <f>IFERROR(INDEX('4. Master Ingredient Inventory'!$I$2:$I$109,MATCH($C241,'4. Master Ingredient Inventory'!$B$2:$B$109,0)),0)</f>
        <v>8</v>
      </c>
      <c r="H241" s="15">
        <f t="shared" si="13"/>
        <v>8</v>
      </c>
      <c r="I241" s="13">
        <f t="shared" si="14"/>
        <v>1</v>
      </c>
      <c r="J241" s="15">
        <f t="shared" si="15"/>
        <v>8</v>
      </c>
    </row>
    <row r="242" spans="1:10" ht="15" customHeight="1" x14ac:dyDescent="0.25">
      <c r="A242" s="13" t="s">
        <v>27</v>
      </c>
      <c r="B242" s="13" t="s">
        <v>28</v>
      </c>
      <c r="C242" s="13" t="s">
        <v>613</v>
      </c>
      <c r="D242" s="13">
        <v>1</v>
      </c>
      <c r="E242" s="13" t="s">
        <v>174</v>
      </c>
      <c r="F242" s="13">
        <f t="shared" si="12"/>
        <v>1</v>
      </c>
      <c r="G242" s="14">
        <f>IFERROR(INDEX('4. Master Ingredient Inventory'!$I$2:$I$109,MATCH($C242,'4. Master Ingredient Inventory'!$B$2:$B$109,0)),0)</f>
        <v>0.32</v>
      </c>
      <c r="H242" s="15">
        <f t="shared" si="13"/>
        <v>0.32</v>
      </c>
      <c r="I242" s="13">
        <f t="shared" si="14"/>
        <v>1</v>
      </c>
      <c r="J242" s="15">
        <f t="shared" si="15"/>
        <v>0.32</v>
      </c>
    </row>
    <row r="243" spans="1:10" ht="15" customHeight="1" x14ac:dyDescent="0.25">
      <c r="A243" s="13" t="s">
        <v>27</v>
      </c>
      <c r="B243" s="13" t="s">
        <v>28</v>
      </c>
      <c r="C243" s="13" t="s">
        <v>628</v>
      </c>
      <c r="D243" s="13">
        <v>5</v>
      </c>
      <c r="E243" s="13" t="s">
        <v>174</v>
      </c>
      <c r="F243" s="13">
        <f t="shared" si="12"/>
        <v>5</v>
      </c>
      <c r="G243" s="14">
        <f>IFERROR(INDEX('4. Master Ingredient Inventory'!$I$2:$I$109,MATCH($C243,'4. Master Ingredient Inventory'!$B$2:$B$109,0)),0)</f>
        <v>0.12</v>
      </c>
      <c r="H243" s="15">
        <f t="shared" si="13"/>
        <v>0.6</v>
      </c>
      <c r="I243" s="13">
        <f t="shared" si="14"/>
        <v>5</v>
      </c>
      <c r="J243" s="15">
        <f t="shared" si="15"/>
        <v>0.6</v>
      </c>
    </row>
    <row r="244" spans="1:10" ht="15" customHeight="1" x14ac:dyDescent="0.25">
      <c r="A244" s="13" t="s">
        <v>29</v>
      </c>
      <c r="B244" s="13" t="s">
        <v>28</v>
      </c>
      <c r="C244" s="13" t="s">
        <v>297</v>
      </c>
      <c r="D244" s="13">
        <v>140</v>
      </c>
      <c r="E244" s="13" t="s">
        <v>174</v>
      </c>
      <c r="F244" s="13">
        <f t="shared" si="12"/>
        <v>140</v>
      </c>
      <c r="G244" s="14">
        <f>IFERROR(INDEX('4. Master Ingredient Inventory'!$I$2:$I$109,MATCH($C244,'4. Master Ingredient Inventory'!$B$2:$B$109,0)),0)</f>
        <v>0.26</v>
      </c>
      <c r="H244" s="15">
        <f t="shared" si="13"/>
        <v>36.4</v>
      </c>
      <c r="I244" s="13">
        <f t="shared" si="14"/>
        <v>140</v>
      </c>
      <c r="J244" s="15">
        <f t="shared" si="15"/>
        <v>36.4</v>
      </c>
    </row>
    <row r="245" spans="1:10" ht="15" customHeight="1" x14ac:dyDescent="0.25">
      <c r="A245" s="13" t="s">
        <v>29</v>
      </c>
      <c r="B245" s="13" t="s">
        <v>28</v>
      </c>
      <c r="C245" s="13" t="s">
        <v>618</v>
      </c>
      <c r="D245" s="13">
        <v>8</v>
      </c>
      <c r="E245" s="13" t="s">
        <v>163</v>
      </c>
      <c r="F245" s="13">
        <f t="shared" si="12"/>
        <v>8</v>
      </c>
      <c r="G245" s="14">
        <f>IFERROR(INDEX('4. Master Ingredient Inventory'!$I$2:$I$109,MATCH($C245,'4. Master Ingredient Inventory'!$B$2:$B$109,0)),0)</f>
        <v>6.5000000000000002E-2</v>
      </c>
      <c r="H245" s="15">
        <f t="shared" si="13"/>
        <v>0.52</v>
      </c>
      <c r="I245" s="13">
        <f t="shared" si="14"/>
        <v>8</v>
      </c>
      <c r="J245" s="15">
        <f t="shared" si="15"/>
        <v>0.52</v>
      </c>
    </row>
    <row r="246" spans="1:10" ht="15" customHeight="1" x14ac:dyDescent="0.25">
      <c r="A246" s="13" t="s">
        <v>29</v>
      </c>
      <c r="B246" s="13" t="s">
        <v>28</v>
      </c>
      <c r="C246" s="13" t="s">
        <v>525</v>
      </c>
      <c r="D246" s="13">
        <v>8</v>
      </c>
      <c r="E246" s="13" t="s">
        <v>163</v>
      </c>
      <c r="F246" s="13">
        <f t="shared" si="12"/>
        <v>8</v>
      </c>
      <c r="G246" s="14">
        <f>IFERROR(INDEX('4. Master Ingredient Inventory'!$I$2:$I$109,MATCH($C246,'4. Master Ingredient Inventory'!$B$2:$B$109,0)),0)</f>
        <v>0.12</v>
      </c>
      <c r="H246" s="15">
        <f t="shared" si="13"/>
        <v>0.96</v>
      </c>
      <c r="I246" s="13">
        <f t="shared" si="14"/>
        <v>8</v>
      </c>
      <c r="J246" s="15">
        <f t="shared" si="15"/>
        <v>0.96</v>
      </c>
    </row>
    <row r="247" spans="1:10" ht="15" customHeight="1" x14ac:dyDescent="0.25">
      <c r="A247" s="13" t="s">
        <v>29</v>
      </c>
      <c r="B247" s="13" t="s">
        <v>28</v>
      </c>
      <c r="C247" s="13" t="s">
        <v>679</v>
      </c>
      <c r="D247" s="13">
        <v>8</v>
      </c>
      <c r="E247" s="13" t="s">
        <v>163</v>
      </c>
      <c r="F247" s="13">
        <f t="shared" si="12"/>
        <v>8</v>
      </c>
      <c r="G247" s="14">
        <f>IFERROR(INDEX('4. Master Ingredient Inventory'!$I$2:$I$109,MATCH($C247,'4. Master Ingredient Inventory'!$B$2:$B$109,0)),0)</f>
        <v>0.28000000000000003</v>
      </c>
      <c r="H247" s="15">
        <f t="shared" si="13"/>
        <v>2.2400000000000002</v>
      </c>
      <c r="I247" s="13">
        <f t="shared" si="14"/>
        <v>8</v>
      </c>
      <c r="J247" s="15">
        <f t="shared" si="15"/>
        <v>2.2400000000000002</v>
      </c>
    </row>
    <row r="248" spans="1:10" ht="15" customHeight="1" x14ac:dyDescent="0.25">
      <c r="A248" s="13" t="s">
        <v>29</v>
      </c>
      <c r="B248" s="13" t="s">
        <v>28</v>
      </c>
      <c r="C248" s="13" t="s">
        <v>238</v>
      </c>
      <c r="D248" s="13">
        <v>2</v>
      </c>
      <c r="E248" s="13" t="s">
        <v>174</v>
      </c>
      <c r="F248" s="13">
        <f t="shared" si="12"/>
        <v>2</v>
      </c>
      <c r="G248" s="14">
        <f>IFERROR(INDEX('4. Master Ingredient Inventory'!$I$2:$I$109,MATCH($C248,'4. Master Ingredient Inventory'!$B$2:$B$109,0)),0)</f>
        <v>8.2000000000000003E-2</v>
      </c>
      <c r="H248" s="15">
        <f t="shared" si="13"/>
        <v>0.16400000000000001</v>
      </c>
      <c r="I248" s="13">
        <f t="shared" si="14"/>
        <v>2</v>
      </c>
      <c r="J248" s="15">
        <f t="shared" si="15"/>
        <v>0.16400000000000001</v>
      </c>
    </row>
    <row r="249" spans="1:10" ht="15" customHeight="1" x14ac:dyDescent="0.25">
      <c r="A249" s="13" t="s">
        <v>29</v>
      </c>
      <c r="B249" s="13" t="s">
        <v>28</v>
      </c>
      <c r="C249" s="13" t="s">
        <v>384</v>
      </c>
      <c r="D249" s="13">
        <v>2</v>
      </c>
      <c r="E249" s="13" t="s">
        <v>701</v>
      </c>
      <c r="F249" s="13">
        <f t="shared" si="12"/>
        <v>2</v>
      </c>
      <c r="G249" s="14">
        <f>IFERROR(INDEX('4. Master Ingredient Inventory'!$I$2:$I$109,MATCH($C249,'4. Master Ingredient Inventory'!$B$2:$B$109,0)),0)</f>
        <v>0.9</v>
      </c>
      <c r="H249" s="15">
        <f t="shared" si="13"/>
        <v>1.8</v>
      </c>
      <c r="I249" s="13">
        <f t="shared" si="14"/>
        <v>2</v>
      </c>
      <c r="J249" s="15">
        <f t="shared" si="15"/>
        <v>1.8</v>
      </c>
    </row>
    <row r="250" spans="1:10" ht="15" customHeight="1" x14ac:dyDescent="0.25">
      <c r="A250" s="13" t="s">
        <v>29</v>
      </c>
      <c r="B250" s="13" t="s">
        <v>28</v>
      </c>
      <c r="C250" s="13" t="s">
        <v>384</v>
      </c>
      <c r="D250" s="13">
        <v>2</v>
      </c>
      <c r="E250" s="13" t="s">
        <v>701</v>
      </c>
      <c r="F250" s="13">
        <f t="shared" si="12"/>
        <v>2</v>
      </c>
      <c r="G250" s="14">
        <f>IFERROR(INDEX('4. Master Ingredient Inventory'!$I$2:$I$109,MATCH($C250,'4. Master Ingredient Inventory'!$B$2:$B$109,0)),0)</f>
        <v>0.9</v>
      </c>
      <c r="H250" s="15">
        <f t="shared" si="13"/>
        <v>1.8</v>
      </c>
      <c r="I250" s="13">
        <f t="shared" si="14"/>
        <v>2</v>
      </c>
      <c r="J250" s="15">
        <f t="shared" si="15"/>
        <v>1.8</v>
      </c>
    </row>
    <row r="251" spans="1:10" ht="15" customHeight="1" x14ac:dyDescent="0.25">
      <c r="A251" s="13" t="s">
        <v>29</v>
      </c>
      <c r="B251" s="13" t="s">
        <v>28</v>
      </c>
      <c r="C251" s="13" t="s">
        <v>243</v>
      </c>
      <c r="D251" s="13">
        <v>8</v>
      </c>
      <c r="E251" s="13" t="s">
        <v>174</v>
      </c>
      <c r="F251" s="13">
        <f t="shared" si="12"/>
        <v>8</v>
      </c>
      <c r="G251" s="14">
        <f>IFERROR(INDEX('4. Master Ingredient Inventory'!$I$2:$I$109,MATCH($C251,'4. Master Ingredient Inventory'!$B$2:$B$109,0)),0)</f>
        <v>0.48</v>
      </c>
      <c r="H251" s="15">
        <f t="shared" si="13"/>
        <v>3.84</v>
      </c>
      <c r="I251" s="13">
        <f t="shared" si="14"/>
        <v>8</v>
      </c>
      <c r="J251" s="15">
        <f t="shared" si="15"/>
        <v>3.84</v>
      </c>
    </row>
    <row r="252" spans="1:10" ht="15" customHeight="1" x14ac:dyDescent="0.25">
      <c r="A252" s="13" t="s">
        <v>29</v>
      </c>
      <c r="B252" s="13" t="s">
        <v>28</v>
      </c>
      <c r="C252" s="13" t="s">
        <v>323</v>
      </c>
      <c r="D252" s="13">
        <v>10</v>
      </c>
      <c r="E252" s="13" t="s">
        <v>163</v>
      </c>
      <c r="F252" s="13">
        <f t="shared" si="12"/>
        <v>10</v>
      </c>
      <c r="G252" s="14">
        <f>IFERROR(INDEX('4. Master Ingredient Inventory'!$I$2:$I$109,MATCH($C252,'4. Master Ingredient Inventory'!$B$2:$B$109,0)),0)</f>
        <v>0.09</v>
      </c>
      <c r="H252" s="15">
        <f t="shared" si="13"/>
        <v>0.89999999999999991</v>
      </c>
      <c r="I252" s="13">
        <f t="shared" si="14"/>
        <v>10</v>
      </c>
      <c r="J252" s="15">
        <f t="shared" si="15"/>
        <v>0.89999999999999991</v>
      </c>
    </row>
    <row r="253" spans="1:10" ht="15" customHeight="1" x14ac:dyDescent="0.25">
      <c r="A253" s="13" t="s">
        <v>29</v>
      </c>
      <c r="B253" s="13" t="s">
        <v>28</v>
      </c>
      <c r="C253" s="13" t="s">
        <v>210</v>
      </c>
      <c r="D253" s="13">
        <v>0.5</v>
      </c>
      <c r="E253" s="13" t="s">
        <v>174</v>
      </c>
      <c r="F253" s="13">
        <f t="shared" si="12"/>
        <v>0.5</v>
      </c>
      <c r="G253" s="14">
        <f>IFERROR(INDEX('4. Master Ingredient Inventory'!$I$2:$I$109,MATCH($C253,'4. Master Ingredient Inventory'!$B$2:$B$109,0)),0)</f>
        <v>0.65</v>
      </c>
      <c r="H253" s="15">
        <f t="shared" si="13"/>
        <v>0.32500000000000001</v>
      </c>
      <c r="I253" s="13">
        <f t="shared" si="14"/>
        <v>0.5</v>
      </c>
      <c r="J253" s="15">
        <f t="shared" si="15"/>
        <v>0.32500000000000001</v>
      </c>
    </row>
    <row r="254" spans="1:10" ht="15" customHeight="1" x14ac:dyDescent="0.25">
      <c r="A254" s="13" t="s">
        <v>29</v>
      </c>
      <c r="B254" s="13" t="s">
        <v>28</v>
      </c>
      <c r="C254" s="13" t="s">
        <v>598</v>
      </c>
      <c r="D254" s="13">
        <v>0.5</v>
      </c>
      <c r="E254" s="13" t="s">
        <v>174</v>
      </c>
      <c r="F254" s="13">
        <f t="shared" si="12"/>
        <v>0.5</v>
      </c>
      <c r="G254" s="14">
        <f>IFERROR(INDEX('4. Master Ingredient Inventory'!$I$2:$I$109,MATCH($C254,'4. Master Ingredient Inventory'!$B$2:$B$109,0)),0)</f>
        <v>0.03</v>
      </c>
      <c r="H254" s="15">
        <f t="shared" si="13"/>
        <v>1.4999999999999999E-2</v>
      </c>
      <c r="I254" s="13">
        <f t="shared" si="14"/>
        <v>0.5</v>
      </c>
      <c r="J254" s="15">
        <f t="shared" si="15"/>
        <v>1.4999999999999999E-2</v>
      </c>
    </row>
    <row r="255" spans="1:10" ht="15" customHeight="1" x14ac:dyDescent="0.25">
      <c r="A255" s="13" t="s">
        <v>29</v>
      </c>
      <c r="B255" s="13" t="s">
        <v>28</v>
      </c>
      <c r="C255" s="13" t="s">
        <v>500</v>
      </c>
      <c r="D255" s="13">
        <v>30</v>
      </c>
      <c r="E255" s="13" t="s">
        <v>174</v>
      </c>
      <c r="F255" s="13">
        <f t="shared" si="12"/>
        <v>30</v>
      </c>
      <c r="G255" s="14">
        <f>IFERROR(INDEX('4. Master Ingredient Inventory'!$I$2:$I$109,MATCH($C255,'4. Master Ingredient Inventory'!$B$2:$B$109,0)),0)</f>
        <v>0.18</v>
      </c>
      <c r="H255" s="15">
        <f t="shared" si="13"/>
        <v>5.3999999999999995</v>
      </c>
      <c r="I255" s="13">
        <f t="shared" si="14"/>
        <v>30</v>
      </c>
      <c r="J255" s="15">
        <f t="shared" si="15"/>
        <v>5.3999999999999995</v>
      </c>
    </row>
    <row r="256" spans="1:10" ht="15" customHeight="1" x14ac:dyDescent="0.25">
      <c r="A256" s="13" t="s">
        <v>29</v>
      </c>
      <c r="B256" s="13" t="s">
        <v>28</v>
      </c>
      <c r="C256" s="13" t="s">
        <v>582</v>
      </c>
      <c r="D256" s="13">
        <v>5</v>
      </c>
      <c r="E256" s="13" t="s">
        <v>174</v>
      </c>
      <c r="F256" s="13">
        <f t="shared" si="12"/>
        <v>5</v>
      </c>
      <c r="G256" s="14">
        <f>IFERROR(INDEX('4. Master Ingredient Inventory'!$I$2:$I$109,MATCH($C256,'4. Master Ingredient Inventory'!$B$2:$B$109,0)),0)</f>
        <v>0.16</v>
      </c>
      <c r="H256" s="15">
        <f t="shared" si="13"/>
        <v>0.8</v>
      </c>
      <c r="I256" s="13">
        <f t="shared" si="14"/>
        <v>5</v>
      </c>
      <c r="J256" s="15">
        <f t="shared" si="15"/>
        <v>0.8</v>
      </c>
    </row>
    <row r="257" spans="1:10" ht="15" customHeight="1" x14ac:dyDescent="0.25">
      <c r="A257" s="13" t="s">
        <v>29</v>
      </c>
      <c r="B257" s="13" t="s">
        <v>28</v>
      </c>
      <c r="C257" s="13" t="s">
        <v>542</v>
      </c>
      <c r="D257" s="13">
        <v>2</v>
      </c>
      <c r="E257" s="13" t="s">
        <v>174</v>
      </c>
      <c r="F257" s="13">
        <f t="shared" si="12"/>
        <v>2</v>
      </c>
      <c r="G257" s="14">
        <f>IFERROR(INDEX('4. Master Ingredient Inventory'!$I$2:$I$109,MATCH($C257,'4. Master Ingredient Inventory'!$B$2:$B$109,0)),0)</f>
        <v>0.83333333333333337</v>
      </c>
      <c r="H257" s="15">
        <f t="shared" si="13"/>
        <v>1.6666666666666667</v>
      </c>
      <c r="I257" s="13">
        <f t="shared" si="14"/>
        <v>2</v>
      </c>
      <c r="J257" s="15">
        <f t="shared" si="15"/>
        <v>1.6666666666666667</v>
      </c>
    </row>
    <row r="258" spans="1:10" ht="15" customHeight="1" x14ac:dyDescent="0.25">
      <c r="A258" s="13" t="s">
        <v>29</v>
      </c>
      <c r="B258" s="13" t="s">
        <v>28</v>
      </c>
      <c r="C258" s="13" t="s">
        <v>316</v>
      </c>
      <c r="D258" s="13">
        <v>180</v>
      </c>
      <c r="E258" s="13" t="s">
        <v>174</v>
      </c>
      <c r="F258" s="13">
        <f t="shared" si="12"/>
        <v>180</v>
      </c>
      <c r="G258" s="14">
        <f>IFERROR(INDEX('4. Master Ingredient Inventory'!$I$2:$I$109,MATCH($C258,'4. Master Ingredient Inventory'!$B$2:$B$109,0)),0)</f>
        <v>4.8000000000000001E-2</v>
      </c>
      <c r="H258" s="15">
        <f t="shared" si="13"/>
        <v>8.64</v>
      </c>
      <c r="I258" s="13">
        <f t="shared" si="14"/>
        <v>180</v>
      </c>
      <c r="J258" s="15">
        <f t="shared" si="15"/>
        <v>8.64</v>
      </c>
    </row>
    <row r="259" spans="1:10" ht="15" customHeight="1" x14ac:dyDescent="0.25">
      <c r="A259" s="13" t="s">
        <v>30</v>
      </c>
      <c r="B259" s="13" t="s">
        <v>28</v>
      </c>
      <c r="C259" s="13" t="s">
        <v>297</v>
      </c>
      <c r="D259" s="13">
        <v>120</v>
      </c>
      <c r="E259" s="13" t="s">
        <v>174</v>
      </c>
      <c r="F259" s="13">
        <f t="shared" si="12"/>
        <v>120</v>
      </c>
      <c r="G259" s="14">
        <f>IFERROR(INDEX('4. Master Ingredient Inventory'!$I$2:$I$109,MATCH($C259,'4. Master Ingredient Inventory'!$B$2:$B$109,0)),0)</f>
        <v>0.26</v>
      </c>
      <c r="H259" s="15">
        <f t="shared" si="13"/>
        <v>31.200000000000003</v>
      </c>
      <c r="I259" s="13">
        <f t="shared" si="14"/>
        <v>120</v>
      </c>
      <c r="J259" s="15">
        <f t="shared" si="15"/>
        <v>31.200000000000003</v>
      </c>
    </row>
    <row r="260" spans="1:10" ht="15" customHeight="1" x14ac:dyDescent="0.25">
      <c r="A260" s="13" t="s">
        <v>30</v>
      </c>
      <c r="B260" s="13" t="s">
        <v>28</v>
      </c>
      <c r="C260" s="13" t="s">
        <v>366</v>
      </c>
      <c r="D260" s="13">
        <v>80</v>
      </c>
      <c r="E260" s="13" t="s">
        <v>174</v>
      </c>
      <c r="F260" s="13">
        <f t="shared" ref="F260:F323" si="16">$D260*1</f>
        <v>80</v>
      </c>
      <c r="G260" s="14">
        <f>IFERROR(INDEX('4. Master Ingredient Inventory'!$I$2:$I$109,MATCH($C260,'4. Master Ingredient Inventory'!$B$2:$B$109,0)),0)</f>
        <v>0.15</v>
      </c>
      <c r="H260" s="15">
        <f t="shared" ref="H260:H323" si="17">$F260*$G260</f>
        <v>12</v>
      </c>
      <c r="I260" s="13">
        <f t="shared" ref="I260:I323" si="18">IF(AND($C260="Cooking Oil",$D260&gt;=100),$D260*$L$1,$F260)</f>
        <v>80</v>
      </c>
      <c r="J260" s="15">
        <f t="shared" ref="J260:J323" si="19">$I260*$G260</f>
        <v>12</v>
      </c>
    </row>
    <row r="261" spans="1:10" ht="15" customHeight="1" x14ac:dyDescent="0.25">
      <c r="A261" s="13" t="s">
        <v>30</v>
      </c>
      <c r="B261" s="13" t="s">
        <v>28</v>
      </c>
      <c r="C261" s="13" t="s">
        <v>500</v>
      </c>
      <c r="D261" s="13">
        <v>50</v>
      </c>
      <c r="E261" s="13" t="s">
        <v>174</v>
      </c>
      <c r="F261" s="13">
        <f t="shared" si="16"/>
        <v>50</v>
      </c>
      <c r="G261" s="14">
        <f>IFERROR(INDEX('4. Master Ingredient Inventory'!$I$2:$I$109,MATCH($C261,'4. Master Ingredient Inventory'!$B$2:$B$109,0)),0)</f>
        <v>0.18</v>
      </c>
      <c r="H261" s="15">
        <f t="shared" si="17"/>
        <v>9</v>
      </c>
      <c r="I261" s="13">
        <f t="shared" si="18"/>
        <v>50</v>
      </c>
      <c r="J261" s="15">
        <f t="shared" si="19"/>
        <v>9</v>
      </c>
    </row>
    <row r="262" spans="1:10" ht="15" customHeight="1" x14ac:dyDescent="0.25">
      <c r="A262" s="13" t="s">
        <v>30</v>
      </c>
      <c r="B262" s="13" t="s">
        <v>28</v>
      </c>
      <c r="C262" s="13" t="s">
        <v>243</v>
      </c>
      <c r="D262" s="13">
        <v>10</v>
      </c>
      <c r="E262" s="13" t="s">
        <v>174</v>
      </c>
      <c r="F262" s="13">
        <f t="shared" si="16"/>
        <v>10</v>
      </c>
      <c r="G262" s="14">
        <f>IFERROR(INDEX('4. Master Ingredient Inventory'!$I$2:$I$109,MATCH($C262,'4. Master Ingredient Inventory'!$B$2:$B$109,0)),0)</f>
        <v>0.48</v>
      </c>
      <c r="H262" s="15">
        <f t="shared" si="17"/>
        <v>4.8</v>
      </c>
      <c r="I262" s="13">
        <f t="shared" si="18"/>
        <v>10</v>
      </c>
      <c r="J262" s="15">
        <f t="shared" si="19"/>
        <v>4.8</v>
      </c>
    </row>
    <row r="263" spans="1:10" ht="15" customHeight="1" x14ac:dyDescent="0.25">
      <c r="A263" s="13" t="s">
        <v>30</v>
      </c>
      <c r="B263" s="13" t="s">
        <v>28</v>
      </c>
      <c r="C263" s="13" t="s">
        <v>323</v>
      </c>
      <c r="D263" s="13">
        <v>5</v>
      </c>
      <c r="E263" s="13" t="s">
        <v>163</v>
      </c>
      <c r="F263" s="13">
        <f t="shared" si="16"/>
        <v>5</v>
      </c>
      <c r="G263" s="14">
        <f>IFERROR(INDEX('4. Master Ingredient Inventory'!$I$2:$I$109,MATCH($C263,'4. Master Ingredient Inventory'!$B$2:$B$109,0)),0)</f>
        <v>0.09</v>
      </c>
      <c r="H263" s="15">
        <f t="shared" si="17"/>
        <v>0.44999999999999996</v>
      </c>
      <c r="I263" s="13">
        <f t="shared" si="18"/>
        <v>5</v>
      </c>
      <c r="J263" s="15">
        <f t="shared" si="19"/>
        <v>0.44999999999999996</v>
      </c>
    </row>
    <row r="264" spans="1:10" ht="15" customHeight="1" x14ac:dyDescent="0.25">
      <c r="A264" s="13" t="s">
        <v>30</v>
      </c>
      <c r="B264" s="13" t="s">
        <v>28</v>
      </c>
      <c r="C264" s="13" t="s">
        <v>384</v>
      </c>
      <c r="D264" s="13">
        <v>2</v>
      </c>
      <c r="E264" s="13" t="s">
        <v>701</v>
      </c>
      <c r="F264" s="13">
        <f t="shared" si="16"/>
        <v>2</v>
      </c>
      <c r="G264" s="14">
        <f>IFERROR(INDEX('4. Master Ingredient Inventory'!$I$2:$I$109,MATCH($C264,'4. Master Ingredient Inventory'!$B$2:$B$109,0)),0)</f>
        <v>0.9</v>
      </c>
      <c r="H264" s="15">
        <f t="shared" si="17"/>
        <v>1.8</v>
      </c>
      <c r="I264" s="13">
        <f t="shared" si="18"/>
        <v>2</v>
      </c>
      <c r="J264" s="15">
        <f t="shared" si="19"/>
        <v>1.8</v>
      </c>
    </row>
    <row r="265" spans="1:10" ht="15" customHeight="1" x14ac:dyDescent="0.25">
      <c r="A265" s="13" t="s">
        <v>30</v>
      </c>
      <c r="B265" s="13" t="s">
        <v>28</v>
      </c>
      <c r="C265" s="13" t="s">
        <v>159</v>
      </c>
      <c r="D265" s="13">
        <v>80</v>
      </c>
      <c r="E265" s="13" t="s">
        <v>163</v>
      </c>
      <c r="F265" s="13">
        <f t="shared" si="16"/>
        <v>80</v>
      </c>
      <c r="G265" s="14">
        <f>IFERROR(INDEX('4. Master Ingredient Inventory'!$I$2:$I$109,MATCH($C265,'4. Master Ingredient Inventory'!$B$2:$B$109,0)),0)</f>
        <v>0.3</v>
      </c>
      <c r="H265" s="15">
        <f t="shared" si="17"/>
        <v>24</v>
      </c>
      <c r="I265" s="13">
        <f t="shared" si="18"/>
        <v>80</v>
      </c>
      <c r="J265" s="15">
        <f t="shared" si="19"/>
        <v>24</v>
      </c>
    </row>
    <row r="266" spans="1:10" ht="15" customHeight="1" x14ac:dyDescent="0.25">
      <c r="A266" s="13" t="s">
        <v>30</v>
      </c>
      <c r="B266" s="13" t="s">
        <v>28</v>
      </c>
      <c r="C266" s="13" t="s">
        <v>536</v>
      </c>
      <c r="D266" s="13">
        <v>15</v>
      </c>
      <c r="E266" s="13" t="s">
        <v>174</v>
      </c>
      <c r="F266" s="13">
        <f t="shared" si="16"/>
        <v>15</v>
      </c>
      <c r="G266" s="14">
        <f>IFERROR(INDEX('4. Master Ingredient Inventory'!$I$2:$I$109,MATCH($C266,'4. Master Ingredient Inventory'!$B$2:$B$109,0)),0)</f>
        <v>0.85</v>
      </c>
      <c r="H266" s="15">
        <f t="shared" si="17"/>
        <v>12.75</v>
      </c>
      <c r="I266" s="13">
        <f t="shared" si="18"/>
        <v>15</v>
      </c>
      <c r="J266" s="15">
        <f t="shared" si="19"/>
        <v>12.75</v>
      </c>
    </row>
    <row r="267" spans="1:10" ht="15" customHeight="1" x14ac:dyDescent="0.25">
      <c r="A267" s="13" t="s">
        <v>30</v>
      </c>
      <c r="B267" s="13" t="s">
        <v>28</v>
      </c>
      <c r="C267" s="13" t="s">
        <v>495</v>
      </c>
      <c r="D267" s="13">
        <v>10</v>
      </c>
      <c r="E267" s="13" t="s">
        <v>174</v>
      </c>
      <c r="F267" s="13">
        <f t="shared" si="16"/>
        <v>10</v>
      </c>
      <c r="G267" s="14">
        <f>IFERROR(INDEX('4. Master Ingredient Inventory'!$I$2:$I$109,MATCH($C267,'4. Master Ingredient Inventory'!$B$2:$B$109,0)),0)</f>
        <v>0.62</v>
      </c>
      <c r="H267" s="15">
        <f t="shared" si="17"/>
        <v>6.2</v>
      </c>
      <c r="I267" s="13">
        <f t="shared" si="18"/>
        <v>10</v>
      </c>
      <c r="J267" s="15">
        <f t="shared" si="19"/>
        <v>6.2</v>
      </c>
    </row>
    <row r="268" spans="1:10" ht="15" customHeight="1" x14ac:dyDescent="0.25">
      <c r="A268" s="13" t="s">
        <v>30</v>
      </c>
      <c r="B268" s="13" t="s">
        <v>28</v>
      </c>
      <c r="C268" s="13" t="s">
        <v>170</v>
      </c>
      <c r="D268" s="13">
        <v>5</v>
      </c>
      <c r="E268" s="13" t="s">
        <v>174</v>
      </c>
      <c r="F268" s="13">
        <f t="shared" si="16"/>
        <v>5</v>
      </c>
      <c r="G268" s="14">
        <f>IFERROR(INDEX('4. Master Ingredient Inventory'!$I$2:$I$109,MATCH($C268,'4. Master Ingredient Inventory'!$B$2:$B$109,0)),0)</f>
        <v>5.8000000000000003E-2</v>
      </c>
      <c r="H268" s="15">
        <f t="shared" si="17"/>
        <v>0.29000000000000004</v>
      </c>
      <c r="I268" s="13">
        <f t="shared" si="18"/>
        <v>5</v>
      </c>
      <c r="J268" s="15">
        <f t="shared" si="19"/>
        <v>0.29000000000000004</v>
      </c>
    </row>
    <row r="269" spans="1:10" ht="15" customHeight="1" x14ac:dyDescent="0.25">
      <c r="A269" s="13" t="s">
        <v>30</v>
      </c>
      <c r="B269" s="13" t="s">
        <v>28</v>
      </c>
      <c r="C269" s="13" t="s">
        <v>288</v>
      </c>
      <c r="D269" s="13">
        <v>30</v>
      </c>
      <c r="E269" s="13" t="s">
        <v>163</v>
      </c>
      <c r="F269" s="13">
        <f t="shared" si="16"/>
        <v>30</v>
      </c>
      <c r="G269" s="14">
        <f>IFERROR(INDEX('4. Master Ingredient Inventory'!$I$2:$I$109,MATCH($C269,'4. Master Ingredient Inventory'!$B$2:$B$109,0)),0)</f>
        <v>0.09</v>
      </c>
      <c r="H269" s="15">
        <f t="shared" si="17"/>
        <v>2.6999999999999997</v>
      </c>
      <c r="I269" s="13">
        <f t="shared" si="18"/>
        <v>30</v>
      </c>
      <c r="J269" s="15">
        <f t="shared" si="19"/>
        <v>2.6999999999999997</v>
      </c>
    </row>
    <row r="270" spans="1:10" ht="15" customHeight="1" x14ac:dyDescent="0.25">
      <c r="A270" s="13" t="s">
        <v>30</v>
      </c>
      <c r="B270" s="13" t="s">
        <v>28</v>
      </c>
      <c r="C270" s="13" t="s">
        <v>598</v>
      </c>
      <c r="D270" s="13">
        <v>1</v>
      </c>
      <c r="E270" s="13" t="s">
        <v>174</v>
      </c>
      <c r="F270" s="13">
        <f t="shared" si="16"/>
        <v>1</v>
      </c>
      <c r="G270" s="14">
        <f>IFERROR(INDEX('4. Master Ingredient Inventory'!$I$2:$I$109,MATCH($C270,'4. Master Ingredient Inventory'!$B$2:$B$109,0)),0)</f>
        <v>0.03</v>
      </c>
      <c r="H270" s="15">
        <f t="shared" si="17"/>
        <v>0.03</v>
      </c>
      <c r="I270" s="13">
        <f t="shared" si="18"/>
        <v>1</v>
      </c>
      <c r="J270" s="15">
        <f t="shared" si="19"/>
        <v>0.03</v>
      </c>
    </row>
    <row r="271" spans="1:10" ht="15" customHeight="1" x14ac:dyDescent="0.25">
      <c r="A271" s="13" t="s">
        <v>30</v>
      </c>
      <c r="B271" s="13" t="s">
        <v>28</v>
      </c>
      <c r="C271" s="13" t="s">
        <v>210</v>
      </c>
      <c r="D271" s="13">
        <v>0.5</v>
      </c>
      <c r="E271" s="13" t="s">
        <v>174</v>
      </c>
      <c r="F271" s="13">
        <f t="shared" si="16"/>
        <v>0.5</v>
      </c>
      <c r="G271" s="14">
        <f>IFERROR(INDEX('4. Master Ingredient Inventory'!$I$2:$I$109,MATCH($C271,'4. Master Ingredient Inventory'!$B$2:$B$109,0)),0)</f>
        <v>0.65</v>
      </c>
      <c r="H271" s="15">
        <f t="shared" si="17"/>
        <v>0.32500000000000001</v>
      </c>
      <c r="I271" s="13">
        <f t="shared" si="18"/>
        <v>0.5</v>
      </c>
      <c r="J271" s="15">
        <f t="shared" si="19"/>
        <v>0.32500000000000001</v>
      </c>
    </row>
    <row r="272" spans="1:10" ht="15" customHeight="1" x14ac:dyDescent="0.25">
      <c r="A272" s="13" t="s">
        <v>30</v>
      </c>
      <c r="B272" s="13" t="s">
        <v>28</v>
      </c>
      <c r="C272" s="13" t="s">
        <v>542</v>
      </c>
      <c r="D272" s="13">
        <v>2</v>
      </c>
      <c r="E272" s="13" t="s">
        <v>174</v>
      </c>
      <c r="F272" s="13">
        <f t="shared" si="16"/>
        <v>2</v>
      </c>
      <c r="G272" s="14">
        <f>IFERROR(INDEX('4. Master Ingredient Inventory'!$I$2:$I$109,MATCH($C272,'4. Master Ingredient Inventory'!$B$2:$B$109,0)),0)</f>
        <v>0.83333333333333337</v>
      </c>
      <c r="H272" s="15">
        <f t="shared" si="17"/>
        <v>1.6666666666666667</v>
      </c>
      <c r="I272" s="13">
        <f t="shared" si="18"/>
        <v>2</v>
      </c>
      <c r="J272" s="15">
        <f t="shared" si="19"/>
        <v>1.6666666666666667</v>
      </c>
    </row>
    <row r="273" spans="1:10" ht="15" customHeight="1" x14ac:dyDescent="0.25">
      <c r="A273" s="13" t="s">
        <v>31</v>
      </c>
      <c r="B273" s="13" t="s">
        <v>32</v>
      </c>
      <c r="C273" s="13" t="s">
        <v>563</v>
      </c>
      <c r="D273" s="13">
        <v>150</v>
      </c>
      <c r="E273" s="13" t="s">
        <v>174</v>
      </c>
      <c r="F273" s="13">
        <f t="shared" si="16"/>
        <v>150</v>
      </c>
      <c r="G273" s="14">
        <f>IFERROR(INDEX('4. Master Ingredient Inventory'!$I$2:$I$109,MATCH($C273,'4. Master Ingredient Inventory'!$B$2:$B$109,0)),0)</f>
        <v>0.28000000000000003</v>
      </c>
      <c r="H273" s="15">
        <f t="shared" si="17"/>
        <v>42.000000000000007</v>
      </c>
      <c r="I273" s="13">
        <f t="shared" si="18"/>
        <v>150</v>
      </c>
      <c r="J273" s="15">
        <f t="shared" si="19"/>
        <v>42.000000000000007</v>
      </c>
    </row>
    <row r="274" spans="1:10" ht="15" customHeight="1" x14ac:dyDescent="0.25">
      <c r="A274" s="13" t="s">
        <v>31</v>
      </c>
      <c r="B274" s="13" t="s">
        <v>32</v>
      </c>
      <c r="C274" s="13" t="s">
        <v>598</v>
      </c>
      <c r="D274" s="13">
        <v>1</v>
      </c>
      <c r="E274" s="13" t="s">
        <v>174</v>
      </c>
      <c r="F274" s="13">
        <f t="shared" si="16"/>
        <v>1</v>
      </c>
      <c r="G274" s="14">
        <f>IFERROR(INDEX('4. Master Ingredient Inventory'!$I$2:$I$109,MATCH($C274,'4. Master Ingredient Inventory'!$B$2:$B$109,0)),0)</f>
        <v>0.03</v>
      </c>
      <c r="H274" s="15">
        <f t="shared" si="17"/>
        <v>0.03</v>
      </c>
      <c r="I274" s="13">
        <f t="shared" si="18"/>
        <v>1</v>
      </c>
      <c r="J274" s="15">
        <f t="shared" si="19"/>
        <v>0.03</v>
      </c>
    </row>
    <row r="275" spans="1:10" ht="15" customHeight="1" x14ac:dyDescent="0.25">
      <c r="A275" s="13" t="s">
        <v>31</v>
      </c>
      <c r="B275" s="13" t="s">
        <v>32</v>
      </c>
      <c r="C275" s="13" t="s">
        <v>210</v>
      </c>
      <c r="D275" s="13">
        <v>0.5</v>
      </c>
      <c r="E275" s="13" t="s">
        <v>174</v>
      </c>
      <c r="F275" s="13">
        <f t="shared" si="16"/>
        <v>0.5</v>
      </c>
      <c r="G275" s="14">
        <f>IFERROR(INDEX('4. Master Ingredient Inventory'!$I$2:$I$109,MATCH($C275,'4. Master Ingredient Inventory'!$B$2:$B$109,0)),0)</f>
        <v>0.65</v>
      </c>
      <c r="H275" s="15">
        <f t="shared" si="17"/>
        <v>0.32500000000000001</v>
      </c>
      <c r="I275" s="13">
        <f t="shared" si="18"/>
        <v>0.5</v>
      </c>
      <c r="J275" s="15">
        <f t="shared" si="19"/>
        <v>0.32500000000000001</v>
      </c>
    </row>
    <row r="276" spans="1:10" ht="15" customHeight="1" x14ac:dyDescent="0.25">
      <c r="A276" s="13" t="s">
        <v>31</v>
      </c>
      <c r="B276" s="13" t="s">
        <v>32</v>
      </c>
      <c r="C276" s="13" t="s">
        <v>170</v>
      </c>
      <c r="D276" s="13">
        <v>25</v>
      </c>
      <c r="E276" s="13" t="s">
        <v>174</v>
      </c>
      <c r="F276" s="13">
        <f t="shared" si="16"/>
        <v>25</v>
      </c>
      <c r="G276" s="14">
        <f>IFERROR(INDEX('4. Master Ingredient Inventory'!$I$2:$I$109,MATCH($C276,'4. Master Ingredient Inventory'!$B$2:$B$109,0)),0)</f>
        <v>5.8000000000000003E-2</v>
      </c>
      <c r="H276" s="15">
        <f t="shared" si="17"/>
        <v>1.4500000000000002</v>
      </c>
      <c r="I276" s="13">
        <f t="shared" si="18"/>
        <v>25</v>
      </c>
      <c r="J276" s="15">
        <f t="shared" si="19"/>
        <v>1.4500000000000002</v>
      </c>
    </row>
    <row r="277" spans="1:10" ht="15" customHeight="1" x14ac:dyDescent="0.25">
      <c r="A277" s="13" t="s">
        <v>31</v>
      </c>
      <c r="B277" s="13" t="s">
        <v>32</v>
      </c>
      <c r="C277" s="13" t="s">
        <v>356</v>
      </c>
      <c r="D277" s="13">
        <v>1</v>
      </c>
      <c r="E277" s="13" t="s">
        <v>222</v>
      </c>
      <c r="F277" s="13">
        <f t="shared" si="16"/>
        <v>1</v>
      </c>
      <c r="G277" s="14">
        <f>IFERROR(INDEX('4. Master Ingredient Inventory'!$I$2:$I$109,MATCH($C277,'4. Master Ingredient Inventory'!$B$2:$B$109,0)),0)</f>
        <v>8</v>
      </c>
      <c r="H277" s="15">
        <f t="shared" si="17"/>
        <v>8</v>
      </c>
      <c r="I277" s="13">
        <f t="shared" si="18"/>
        <v>1</v>
      </c>
      <c r="J277" s="15">
        <f t="shared" si="19"/>
        <v>8</v>
      </c>
    </row>
    <row r="278" spans="1:10" ht="15" customHeight="1" x14ac:dyDescent="0.25">
      <c r="A278" s="13" t="s">
        <v>31</v>
      </c>
      <c r="B278" s="13" t="s">
        <v>32</v>
      </c>
      <c r="C278" s="13" t="s">
        <v>323</v>
      </c>
      <c r="D278" s="13">
        <v>8</v>
      </c>
      <c r="E278" s="13" t="s">
        <v>163</v>
      </c>
      <c r="F278" s="13">
        <f t="shared" si="16"/>
        <v>8</v>
      </c>
      <c r="G278" s="14">
        <f>IFERROR(INDEX('4. Master Ingredient Inventory'!$I$2:$I$109,MATCH($C278,'4. Master Ingredient Inventory'!$B$2:$B$109,0)),0)</f>
        <v>0.09</v>
      </c>
      <c r="H278" s="15">
        <f t="shared" si="17"/>
        <v>0.72</v>
      </c>
      <c r="I278" s="13">
        <f t="shared" si="18"/>
        <v>8</v>
      </c>
      <c r="J278" s="15">
        <f t="shared" si="19"/>
        <v>0.72</v>
      </c>
    </row>
    <row r="279" spans="1:10" ht="15" customHeight="1" x14ac:dyDescent="0.25">
      <c r="A279" s="13" t="s">
        <v>31</v>
      </c>
      <c r="B279" s="13" t="s">
        <v>32</v>
      </c>
      <c r="C279" s="13" t="s">
        <v>529</v>
      </c>
      <c r="D279" s="13">
        <v>50</v>
      </c>
      <c r="E279" s="13" t="s">
        <v>174</v>
      </c>
      <c r="F279" s="13">
        <f t="shared" si="16"/>
        <v>50</v>
      </c>
      <c r="G279" s="14">
        <f>IFERROR(INDEX('4. Master Ingredient Inventory'!$I$2:$I$109,MATCH($C279,'4. Master Ingredient Inventory'!$B$2:$B$109,0)),0)</f>
        <v>0.18</v>
      </c>
      <c r="H279" s="15">
        <f t="shared" si="17"/>
        <v>9</v>
      </c>
      <c r="I279" s="13">
        <f t="shared" si="18"/>
        <v>50</v>
      </c>
      <c r="J279" s="15">
        <f t="shared" si="19"/>
        <v>9</v>
      </c>
    </row>
    <row r="280" spans="1:10" ht="15" customHeight="1" x14ac:dyDescent="0.25">
      <c r="A280" s="13" t="s">
        <v>31</v>
      </c>
      <c r="B280" s="13" t="s">
        <v>32</v>
      </c>
      <c r="C280" s="13" t="s">
        <v>323</v>
      </c>
      <c r="D280" s="13">
        <v>300</v>
      </c>
      <c r="E280" s="13" t="s">
        <v>163</v>
      </c>
      <c r="F280" s="13">
        <f t="shared" si="16"/>
        <v>300</v>
      </c>
      <c r="G280" s="14">
        <f>IFERROR(INDEX('4. Master Ingredient Inventory'!$I$2:$I$109,MATCH($C280,'4. Master Ingredient Inventory'!$B$2:$B$109,0)),0)</f>
        <v>0.09</v>
      </c>
      <c r="H280" s="15">
        <f t="shared" si="17"/>
        <v>27</v>
      </c>
      <c r="I280" s="13">
        <f t="shared" si="18"/>
        <v>24</v>
      </c>
      <c r="J280" s="15">
        <f t="shared" si="19"/>
        <v>2.16</v>
      </c>
    </row>
    <row r="281" spans="1:10" ht="15" customHeight="1" x14ac:dyDescent="0.25">
      <c r="A281" s="13" t="s">
        <v>31</v>
      </c>
      <c r="B281" s="13" t="s">
        <v>32</v>
      </c>
      <c r="C281" s="13" t="s">
        <v>316</v>
      </c>
      <c r="D281" s="13">
        <v>180</v>
      </c>
      <c r="E281" s="13" t="s">
        <v>174</v>
      </c>
      <c r="F281" s="13">
        <f t="shared" si="16"/>
        <v>180</v>
      </c>
      <c r="G281" s="14">
        <f>IFERROR(INDEX('4. Master Ingredient Inventory'!$I$2:$I$109,MATCH($C281,'4. Master Ingredient Inventory'!$B$2:$B$109,0)),0)</f>
        <v>4.8000000000000001E-2</v>
      </c>
      <c r="H281" s="15">
        <f t="shared" si="17"/>
        <v>8.64</v>
      </c>
      <c r="I281" s="13">
        <f t="shared" si="18"/>
        <v>180</v>
      </c>
      <c r="J281" s="15">
        <f t="shared" si="19"/>
        <v>8.64</v>
      </c>
    </row>
    <row r="282" spans="1:10" ht="15" customHeight="1" x14ac:dyDescent="0.25">
      <c r="A282" s="13" t="s">
        <v>31</v>
      </c>
      <c r="B282" s="13" t="s">
        <v>32</v>
      </c>
      <c r="C282" s="13" t="s">
        <v>250</v>
      </c>
      <c r="D282" s="13">
        <v>50</v>
      </c>
      <c r="E282" s="13" t="s">
        <v>174</v>
      </c>
      <c r="F282" s="13">
        <f t="shared" si="16"/>
        <v>50</v>
      </c>
      <c r="G282" s="14">
        <f>IFERROR(INDEX('4. Master Ingredient Inventory'!$I$2:$I$109,MATCH($C282,'4. Master Ingredient Inventory'!$B$2:$B$109,0)),0)</f>
        <v>0.06</v>
      </c>
      <c r="H282" s="15">
        <f t="shared" si="17"/>
        <v>3</v>
      </c>
      <c r="I282" s="13">
        <f t="shared" si="18"/>
        <v>50</v>
      </c>
      <c r="J282" s="15">
        <f t="shared" si="19"/>
        <v>3</v>
      </c>
    </row>
    <row r="283" spans="1:10" ht="15" customHeight="1" x14ac:dyDescent="0.25">
      <c r="A283" s="13" t="s">
        <v>31</v>
      </c>
      <c r="B283" s="13" t="s">
        <v>32</v>
      </c>
      <c r="C283" s="13" t="s">
        <v>645</v>
      </c>
      <c r="D283" s="13">
        <v>30</v>
      </c>
      <c r="E283" s="13" t="s">
        <v>174</v>
      </c>
      <c r="F283" s="13">
        <f t="shared" si="16"/>
        <v>30</v>
      </c>
      <c r="G283" s="14">
        <f>IFERROR(INDEX('4. Master Ingredient Inventory'!$I$2:$I$109,MATCH($C283,'4. Master Ingredient Inventory'!$B$2:$B$109,0)),0)</f>
        <v>0.28000000000000003</v>
      </c>
      <c r="H283" s="15">
        <f t="shared" si="17"/>
        <v>8.4</v>
      </c>
      <c r="I283" s="13">
        <f t="shared" si="18"/>
        <v>30</v>
      </c>
      <c r="J283" s="15">
        <f t="shared" si="19"/>
        <v>8.4</v>
      </c>
    </row>
    <row r="284" spans="1:10" ht="15" customHeight="1" x14ac:dyDescent="0.25">
      <c r="A284" s="13" t="s">
        <v>31</v>
      </c>
      <c r="B284" s="13" t="s">
        <v>32</v>
      </c>
      <c r="C284" s="13" t="s">
        <v>447</v>
      </c>
      <c r="D284" s="13">
        <v>15</v>
      </c>
      <c r="E284" s="13" t="s">
        <v>174</v>
      </c>
      <c r="F284" s="13">
        <f t="shared" si="16"/>
        <v>15</v>
      </c>
      <c r="G284" s="14">
        <f>IFERROR(INDEX('4. Master Ingredient Inventory'!$I$2:$I$109,MATCH($C284,'4. Master Ingredient Inventory'!$B$2:$B$109,0)),0)</f>
        <v>9.5000000000000001E-2</v>
      </c>
      <c r="H284" s="15">
        <f t="shared" si="17"/>
        <v>1.425</v>
      </c>
      <c r="I284" s="13">
        <f t="shared" si="18"/>
        <v>15</v>
      </c>
      <c r="J284" s="15">
        <f t="shared" si="19"/>
        <v>1.425</v>
      </c>
    </row>
    <row r="285" spans="1:10" ht="15" customHeight="1" x14ac:dyDescent="0.25">
      <c r="A285" s="13" t="s">
        <v>31</v>
      </c>
      <c r="B285" s="13" t="s">
        <v>32</v>
      </c>
      <c r="C285" s="13" t="s">
        <v>679</v>
      </c>
      <c r="D285" s="13">
        <v>10</v>
      </c>
      <c r="E285" s="13" t="s">
        <v>163</v>
      </c>
      <c r="F285" s="13">
        <f t="shared" si="16"/>
        <v>10</v>
      </c>
      <c r="G285" s="14">
        <f>IFERROR(INDEX('4. Master Ingredient Inventory'!$I$2:$I$109,MATCH($C285,'4. Master Ingredient Inventory'!$B$2:$B$109,0)),0)</f>
        <v>0.28000000000000003</v>
      </c>
      <c r="H285" s="15">
        <f t="shared" si="17"/>
        <v>2.8000000000000003</v>
      </c>
      <c r="I285" s="13">
        <f t="shared" si="18"/>
        <v>10</v>
      </c>
      <c r="J285" s="15">
        <f t="shared" si="19"/>
        <v>2.8000000000000003</v>
      </c>
    </row>
    <row r="286" spans="1:10" ht="15" customHeight="1" x14ac:dyDescent="0.25">
      <c r="A286" s="13" t="s">
        <v>31</v>
      </c>
      <c r="B286" s="13" t="s">
        <v>32</v>
      </c>
      <c r="C286" s="13" t="s">
        <v>525</v>
      </c>
      <c r="D286" s="13">
        <v>5</v>
      </c>
      <c r="E286" s="13" t="s">
        <v>163</v>
      </c>
      <c r="F286" s="13">
        <f t="shared" si="16"/>
        <v>5</v>
      </c>
      <c r="G286" s="14">
        <f>IFERROR(INDEX('4. Master Ingredient Inventory'!$I$2:$I$109,MATCH($C286,'4. Master Ingredient Inventory'!$B$2:$B$109,0)),0)</f>
        <v>0.12</v>
      </c>
      <c r="H286" s="15">
        <f t="shared" si="17"/>
        <v>0.6</v>
      </c>
      <c r="I286" s="13">
        <f t="shared" si="18"/>
        <v>5</v>
      </c>
      <c r="J286" s="15">
        <f t="shared" si="19"/>
        <v>0.6</v>
      </c>
    </row>
    <row r="287" spans="1:10" ht="15" customHeight="1" x14ac:dyDescent="0.25">
      <c r="A287" s="13" t="s">
        <v>31</v>
      </c>
      <c r="B287" s="13" t="s">
        <v>32</v>
      </c>
      <c r="C287" s="13" t="s">
        <v>618</v>
      </c>
      <c r="D287" s="13">
        <v>5</v>
      </c>
      <c r="E287" s="13" t="s">
        <v>163</v>
      </c>
      <c r="F287" s="13">
        <f t="shared" si="16"/>
        <v>5</v>
      </c>
      <c r="G287" s="14">
        <f>IFERROR(INDEX('4. Master Ingredient Inventory'!$I$2:$I$109,MATCH($C287,'4. Master Ingredient Inventory'!$B$2:$B$109,0)),0)</f>
        <v>6.5000000000000002E-2</v>
      </c>
      <c r="H287" s="15">
        <f t="shared" si="17"/>
        <v>0.32500000000000001</v>
      </c>
      <c r="I287" s="13">
        <f t="shared" si="18"/>
        <v>5</v>
      </c>
      <c r="J287" s="15">
        <f t="shared" si="19"/>
        <v>0.32500000000000001</v>
      </c>
    </row>
    <row r="288" spans="1:10" ht="15" customHeight="1" x14ac:dyDescent="0.25">
      <c r="A288" s="13" t="s">
        <v>31</v>
      </c>
      <c r="B288" s="13" t="s">
        <v>32</v>
      </c>
      <c r="C288" s="13" t="s">
        <v>671</v>
      </c>
      <c r="D288" s="13">
        <v>5</v>
      </c>
      <c r="E288" s="13" t="s">
        <v>174</v>
      </c>
      <c r="F288" s="13">
        <f t="shared" si="16"/>
        <v>5</v>
      </c>
      <c r="G288" s="14">
        <f>IFERROR(INDEX('4. Master Ingredient Inventory'!$I$2:$I$109,MATCH($C288,'4. Master Ingredient Inventory'!$B$2:$B$109,0)),0)</f>
        <v>8.7999999999999995E-2</v>
      </c>
      <c r="H288" s="15">
        <f t="shared" si="17"/>
        <v>0.43999999999999995</v>
      </c>
      <c r="I288" s="13">
        <f t="shared" si="18"/>
        <v>5</v>
      </c>
      <c r="J288" s="15">
        <f t="shared" si="19"/>
        <v>0.43999999999999995</v>
      </c>
    </row>
    <row r="289" spans="1:10" ht="15" customHeight="1" x14ac:dyDescent="0.25">
      <c r="A289" s="13" t="s">
        <v>31</v>
      </c>
      <c r="B289" s="13" t="s">
        <v>32</v>
      </c>
      <c r="C289" s="13" t="s">
        <v>384</v>
      </c>
      <c r="D289" s="13">
        <v>1</v>
      </c>
      <c r="E289" s="13" t="s">
        <v>386</v>
      </c>
      <c r="F289" s="13">
        <f t="shared" si="16"/>
        <v>1</v>
      </c>
      <c r="G289" s="14">
        <f>IFERROR(INDEX('4. Master Ingredient Inventory'!$I$2:$I$109,MATCH($C289,'4. Master Ingredient Inventory'!$B$2:$B$109,0)),0)</f>
        <v>0.9</v>
      </c>
      <c r="H289" s="15">
        <f t="shared" si="17"/>
        <v>0.9</v>
      </c>
      <c r="I289" s="13">
        <f t="shared" si="18"/>
        <v>1</v>
      </c>
      <c r="J289" s="15">
        <f t="shared" si="19"/>
        <v>0.9</v>
      </c>
    </row>
    <row r="290" spans="1:10" ht="15" customHeight="1" x14ac:dyDescent="0.25">
      <c r="A290" s="13" t="s">
        <v>31</v>
      </c>
      <c r="B290" s="13" t="s">
        <v>32</v>
      </c>
      <c r="C290" s="13" t="s">
        <v>408</v>
      </c>
      <c r="D290" s="13">
        <v>0.5</v>
      </c>
      <c r="E290" s="13" t="s">
        <v>174</v>
      </c>
      <c r="F290" s="13">
        <f t="shared" si="16"/>
        <v>0.5</v>
      </c>
      <c r="G290" s="14">
        <f>IFERROR(INDEX('4. Master Ingredient Inventory'!$I$2:$I$109,MATCH($C290,'4. Master Ingredient Inventory'!$B$2:$B$109,0)),0)</f>
        <v>0.6</v>
      </c>
      <c r="H290" s="15">
        <f t="shared" si="17"/>
        <v>0.3</v>
      </c>
      <c r="I290" s="13">
        <f t="shared" si="18"/>
        <v>0.5</v>
      </c>
      <c r="J290" s="15">
        <f t="shared" si="19"/>
        <v>0.3</v>
      </c>
    </row>
    <row r="291" spans="1:10" ht="15" customHeight="1" x14ac:dyDescent="0.25">
      <c r="A291" s="13" t="s">
        <v>31</v>
      </c>
      <c r="B291" s="13" t="s">
        <v>32</v>
      </c>
      <c r="C291" s="13" t="s">
        <v>503</v>
      </c>
      <c r="D291" s="13">
        <v>5</v>
      </c>
      <c r="E291" s="13" t="s">
        <v>174</v>
      </c>
      <c r="F291" s="13">
        <f t="shared" si="16"/>
        <v>5</v>
      </c>
      <c r="G291" s="14">
        <f>IFERROR(INDEX('4. Master Ingredient Inventory'!$I$2:$I$109,MATCH($C291,'4. Master Ingredient Inventory'!$B$2:$B$109,0)),0)</f>
        <v>0.22</v>
      </c>
      <c r="H291" s="15">
        <f t="shared" si="17"/>
        <v>1.1000000000000001</v>
      </c>
      <c r="I291" s="13">
        <f t="shared" si="18"/>
        <v>5</v>
      </c>
      <c r="J291" s="15">
        <f t="shared" si="19"/>
        <v>1.1000000000000001</v>
      </c>
    </row>
    <row r="292" spans="1:10" ht="15" customHeight="1" x14ac:dyDescent="0.25">
      <c r="A292" s="13" t="s">
        <v>31</v>
      </c>
      <c r="B292" s="13" t="s">
        <v>32</v>
      </c>
      <c r="C292" s="13" t="s">
        <v>255</v>
      </c>
      <c r="D292" s="13">
        <v>1</v>
      </c>
      <c r="E292" s="13" t="s">
        <v>222</v>
      </c>
      <c r="F292" s="13">
        <f t="shared" si="16"/>
        <v>1</v>
      </c>
      <c r="G292" s="14">
        <f>IFERROR(INDEX('4. Master Ingredient Inventory'!$I$2:$I$109,MATCH($C292,'4. Master Ingredient Inventory'!$B$2:$B$109,0)),0)</f>
        <v>0.15</v>
      </c>
      <c r="H292" s="15">
        <f t="shared" si="17"/>
        <v>0.15</v>
      </c>
      <c r="I292" s="13">
        <f t="shared" si="18"/>
        <v>1</v>
      </c>
      <c r="J292" s="15">
        <f t="shared" si="19"/>
        <v>0.15</v>
      </c>
    </row>
    <row r="293" spans="1:10" ht="15" customHeight="1" x14ac:dyDescent="0.25">
      <c r="A293" s="13" t="s">
        <v>33</v>
      </c>
      <c r="B293" s="13" t="s">
        <v>32</v>
      </c>
      <c r="C293" s="13" t="s">
        <v>563</v>
      </c>
      <c r="D293" s="13">
        <v>150</v>
      </c>
      <c r="E293" s="13" t="s">
        <v>174</v>
      </c>
      <c r="F293" s="13">
        <f t="shared" si="16"/>
        <v>150</v>
      </c>
      <c r="G293" s="14">
        <f>IFERROR(INDEX('4. Master Ingredient Inventory'!$I$2:$I$109,MATCH($C293,'4. Master Ingredient Inventory'!$B$2:$B$109,0)),0)</f>
        <v>0.28000000000000003</v>
      </c>
      <c r="H293" s="15">
        <f t="shared" si="17"/>
        <v>42.000000000000007</v>
      </c>
      <c r="I293" s="13">
        <f t="shared" si="18"/>
        <v>150</v>
      </c>
      <c r="J293" s="15">
        <f t="shared" si="19"/>
        <v>42.000000000000007</v>
      </c>
    </row>
    <row r="294" spans="1:10" ht="15" customHeight="1" x14ac:dyDescent="0.25">
      <c r="A294" s="13" t="s">
        <v>33</v>
      </c>
      <c r="B294" s="13" t="s">
        <v>32</v>
      </c>
      <c r="C294" s="13" t="s">
        <v>472</v>
      </c>
      <c r="D294" s="13">
        <v>15</v>
      </c>
      <c r="E294" s="13" t="s">
        <v>163</v>
      </c>
      <c r="F294" s="13">
        <f t="shared" si="16"/>
        <v>15</v>
      </c>
      <c r="G294" s="14">
        <f>IFERROR(INDEX('4. Master Ingredient Inventory'!$I$2:$I$109,MATCH($C294,'4. Master Ingredient Inventory'!$B$2:$B$109,0)),0)</f>
        <v>0.18</v>
      </c>
      <c r="H294" s="15">
        <f t="shared" si="17"/>
        <v>2.6999999999999997</v>
      </c>
      <c r="I294" s="13">
        <f t="shared" si="18"/>
        <v>15</v>
      </c>
      <c r="J294" s="15">
        <f t="shared" si="19"/>
        <v>2.6999999999999997</v>
      </c>
    </row>
    <row r="295" spans="1:10" ht="15" customHeight="1" x14ac:dyDescent="0.25">
      <c r="A295" s="13" t="s">
        <v>33</v>
      </c>
      <c r="B295" s="13" t="s">
        <v>32</v>
      </c>
      <c r="C295" s="13" t="s">
        <v>306</v>
      </c>
      <c r="D295" s="13">
        <v>10</v>
      </c>
      <c r="E295" s="13" t="s">
        <v>163</v>
      </c>
      <c r="F295" s="13">
        <f t="shared" si="16"/>
        <v>10</v>
      </c>
      <c r="G295" s="14">
        <f>IFERROR(INDEX('4. Master Ingredient Inventory'!$I$2:$I$109,MATCH($C295,'4. Master Ingredient Inventory'!$B$2:$B$109,0)),0)</f>
        <v>0.18</v>
      </c>
      <c r="H295" s="15">
        <f t="shared" si="17"/>
        <v>1.7999999999999998</v>
      </c>
      <c r="I295" s="13">
        <f t="shared" si="18"/>
        <v>10</v>
      </c>
      <c r="J295" s="15">
        <f t="shared" si="19"/>
        <v>1.7999999999999998</v>
      </c>
    </row>
    <row r="296" spans="1:10" ht="15" customHeight="1" x14ac:dyDescent="0.25">
      <c r="A296" s="13" t="s">
        <v>33</v>
      </c>
      <c r="B296" s="13" t="s">
        <v>32</v>
      </c>
      <c r="C296" s="13" t="s">
        <v>238</v>
      </c>
      <c r="D296" s="13">
        <v>5</v>
      </c>
      <c r="E296" s="13" t="s">
        <v>174</v>
      </c>
      <c r="F296" s="13">
        <f t="shared" si="16"/>
        <v>5</v>
      </c>
      <c r="G296" s="14">
        <f>IFERROR(INDEX('4. Master Ingredient Inventory'!$I$2:$I$109,MATCH($C296,'4. Master Ingredient Inventory'!$B$2:$B$109,0)),0)</f>
        <v>8.2000000000000003E-2</v>
      </c>
      <c r="H296" s="15">
        <f t="shared" si="17"/>
        <v>0.41000000000000003</v>
      </c>
      <c r="I296" s="13">
        <f t="shared" si="18"/>
        <v>5</v>
      </c>
      <c r="J296" s="15">
        <f t="shared" si="19"/>
        <v>0.41000000000000003</v>
      </c>
    </row>
    <row r="297" spans="1:10" ht="15" customHeight="1" x14ac:dyDescent="0.25">
      <c r="A297" s="13" t="s">
        <v>33</v>
      </c>
      <c r="B297" s="13" t="s">
        <v>32</v>
      </c>
      <c r="C297" s="13" t="s">
        <v>384</v>
      </c>
      <c r="D297" s="13">
        <v>2</v>
      </c>
      <c r="E297" s="13" t="s">
        <v>701</v>
      </c>
      <c r="F297" s="13">
        <f t="shared" si="16"/>
        <v>2</v>
      </c>
      <c r="G297" s="14">
        <f>IFERROR(INDEX('4. Master Ingredient Inventory'!$I$2:$I$109,MATCH($C297,'4. Master Ingredient Inventory'!$B$2:$B$109,0)),0)</f>
        <v>0.9</v>
      </c>
      <c r="H297" s="15">
        <f t="shared" si="17"/>
        <v>1.8</v>
      </c>
      <c r="I297" s="13">
        <f t="shared" si="18"/>
        <v>2</v>
      </c>
      <c r="J297" s="15">
        <f t="shared" si="19"/>
        <v>1.8</v>
      </c>
    </row>
    <row r="298" spans="1:10" ht="15" customHeight="1" x14ac:dyDescent="0.25">
      <c r="A298" s="13" t="s">
        <v>33</v>
      </c>
      <c r="B298" s="13" t="s">
        <v>32</v>
      </c>
      <c r="C298" s="13" t="s">
        <v>370</v>
      </c>
      <c r="D298" s="13">
        <v>1</v>
      </c>
      <c r="E298" s="13" t="s">
        <v>174</v>
      </c>
      <c r="F298" s="13">
        <f t="shared" si="16"/>
        <v>1</v>
      </c>
      <c r="G298" s="14">
        <f>IFERROR(INDEX('4. Master Ingredient Inventory'!$I$2:$I$109,MATCH($C298,'4. Master Ingredient Inventory'!$B$2:$B$109,0)),0)</f>
        <v>0.7</v>
      </c>
      <c r="H298" s="15">
        <f t="shared" si="17"/>
        <v>0.7</v>
      </c>
      <c r="I298" s="13">
        <f t="shared" si="18"/>
        <v>1</v>
      </c>
      <c r="J298" s="15">
        <f t="shared" si="19"/>
        <v>0.7</v>
      </c>
    </row>
    <row r="299" spans="1:10" ht="15" customHeight="1" x14ac:dyDescent="0.25">
      <c r="A299" s="13" t="s">
        <v>33</v>
      </c>
      <c r="B299" s="13" t="s">
        <v>32</v>
      </c>
      <c r="C299" s="13" t="s">
        <v>668</v>
      </c>
      <c r="D299" s="13">
        <v>0.5</v>
      </c>
      <c r="E299" s="13" t="s">
        <v>174</v>
      </c>
      <c r="F299" s="13">
        <f t="shared" si="16"/>
        <v>0.5</v>
      </c>
      <c r="G299" s="14">
        <f>IFERROR(INDEX('4. Master Ingredient Inventory'!$I$2:$I$109,MATCH($C299,'4. Master Ingredient Inventory'!$B$2:$B$109,0)),0)</f>
        <v>0.75</v>
      </c>
      <c r="H299" s="15">
        <f t="shared" si="17"/>
        <v>0.375</v>
      </c>
      <c r="I299" s="13">
        <f t="shared" si="18"/>
        <v>0.5</v>
      </c>
      <c r="J299" s="15">
        <f t="shared" si="19"/>
        <v>0.375</v>
      </c>
    </row>
    <row r="300" spans="1:10" ht="15" customHeight="1" x14ac:dyDescent="0.25">
      <c r="A300" s="13" t="s">
        <v>33</v>
      </c>
      <c r="B300" s="13" t="s">
        <v>32</v>
      </c>
      <c r="C300" s="13" t="s">
        <v>210</v>
      </c>
      <c r="D300" s="13">
        <v>0.5</v>
      </c>
      <c r="E300" s="13" t="s">
        <v>174</v>
      </c>
      <c r="F300" s="13">
        <f t="shared" si="16"/>
        <v>0.5</v>
      </c>
      <c r="G300" s="14">
        <f>IFERROR(INDEX('4. Master Ingredient Inventory'!$I$2:$I$109,MATCH($C300,'4. Master Ingredient Inventory'!$B$2:$B$109,0)),0)</f>
        <v>0.65</v>
      </c>
      <c r="H300" s="15">
        <f t="shared" si="17"/>
        <v>0.32500000000000001</v>
      </c>
      <c r="I300" s="13">
        <f t="shared" si="18"/>
        <v>0.5</v>
      </c>
      <c r="J300" s="15">
        <f t="shared" si="19"/>
        <v>0.32500000000000001</v>
      </c>
    </row>
    <row r="301" spans="1:10" ht="15" customHeight="1" x14ac:dyDescent="0.25">
      <c r="A301" s="13" t="s">
        <v>33</v>
      </c>
      <c r="B301" s="13" t="s">
        <v>32</v>
      </c>
      <c r="C301" s="13" t="s">
        <v>598</v>
      </c>
      <c r="D301" s="13">
        <v>0.5</v>
      </c>
      <c r="E301" s="13" t="s">
        <v>174</v>
      </c>
      <c r="F301" s="13">
        <f t="shared" si="16"/>
        <v>0.5</v>
      </c>
      <c r="G301" s="14">
        <f>IFERROR(INDEX('4. Master Ingredient Inventory'!$I$2:$I$109,MATCH($C301,'4. Master Ingredient Inventory'!$B$2:$B$109,0)),0)</f>
        <v>0.03</v>
      </c>
      <c r="H301" s="15">
        <f t="shared" si="17"/>
        <v>1.4999999999999999E-2</v>
      </c>
      <c r="I301" s="13">
        <f t="shared" si="18"/>
        <v>0.5</v>
      </c>
      <c r="J301" s="15">
        <f t="shared" si="19"/>
        <v>1.4999999999999999E-2</v>
      </c>
    </row>
    <row r="302" spans="1:10" ht="15" customHeight="1" x14ac:dyDescent="0.25">
      <c r="A302" s="13" t="s">
        <v>33</v>
      </c>
      <c r="B302" s="13" t="s">
        <v>32</v>
      </c>
      <c r="C302" s="13" t="s">
        <v>333</v>
      </c>
      <c r="D302" s="13">
        <v>5</v>
      </c>
      <c r="E302" s="13" t="s">
        <v>174</v>
      </c>
      <c r="F302" s="13">
        <f t="shared" si="16"/>
        <v>5</v>
      </c>
      <c r="G302" s="14">
        <f>IFERROR(INDEX('4. Master Ingredient Inventory'!$I$2:$I$109,MATCH($C302,'4. Master Ingredient Inventory'!$B$2:$B$109,0)),0)</f>
        <v>7.4999999999999997E-2</v>
      </c>
      <c r="H302" s="15">
        <f t="shared" si="17"/>
        <v>0.375</v>
      </c>
      <c r="I302" s="13">
        <f t="shared" si="18"/>
        <v>5</v>
      </c>
      <c r="J302" s="15">
        <f t="shared" si="19"/>
        <v>0.375</v>
      </c>
    </row>
    <row r="303" spans="1:10" ht="15" customHeight="1" x14ac:dyDescent="0.25">
      <c r="A303" s="13" t="s">
        <v>33</v>
      </c>
      <c r="B303" s="13" t="s">
        <v>32</v>
      </c>
      <c r="C303" s="13" t="s">
        <v>642</v>
      </c>
      <c r="D303" s="13">
        <v>30</v>
      </c>
      <c r="E303" s="13" t="s">
        <v>174</v>
      </c>
      <c r="F303" s="13">
        <f t="shared" si="16"/>
        <v>30</v>
      </c>
      <c r="G303" s="14">
        <f>IFERROR(INDEX('4. Master Ingredient Inventory'!$I$2:$I$109,MATCH($C303,'4. Master Ingredient Inventory'!$B$2:$B$109,0)),0)</f>
        <v>0.14000000000000001</v>
      </c>
      <c r="H303" s="15">
        <f t="shared" si="17"/>
        <v>4.2</v>
      </c>
      <c r="I303" s="13">
        <f t="shared" si="18"/>
        <v>30</v>
      </c>
      <c r="J303" s="15">
        <f t="shared" si="19"/>
        <v>4.2</v>
      </c>
    </row>
    <row r="304" spans="1:10" ht="15" customHeight="1" x14ac:dyDescent="0.25">
      <c r="A304" s="13" t="s">
        <v>33</v>
      </c>
      <c r="B304" s="13" t="s">
        <v>32</v>
      </c>
      <c r="C304" s="13" t="s">
        <v>323</v>
      </c>
      <c r="D304" s="13">
        <v>300</v>
      </c>
      <c r="E304" s="13" t="s">
        <v>163</v>
      </c>
      <c r="F304" s="13">
        <f t="shared" si="16"/>
        <v>300</v>
      </c>
      <c r="G304" s="14">
        <f>IFERROR(INDEX('4. Master Ingredient Inventory'!$I$2:$I$109,MATCH($C304,'4. Master Ingredient Inventory'!$B$2:$B$109,0)),0)</f>
        <v>0.09</v>
      </c>
      <c r="H304" s="15">
        <f t="shared" si="17"/>
        <v>27</v>
      </c>
      <c r="I304" s="13">
        <f t="shared" si="18"/>
        <v>24</v>
      </c>
      <c r="J304" s="15">
        <f t="shared" si="19"/>
        <v>2.16</v>
      </c>
    </row>
    <row r="305" spans="1:10" ht="15" customHeight="1" x14ac:dyDescent="0.25">
      <c r="A305" s="13" t="s">
        <v>33</v>
      </c>
      <c r="B305" s="13" t="s">
        <v>32</v>
      </c>
      <c r="C305" s="13" t="s">
        <v>316</v>
      </c>
      <c r="D305" s="13">
        <v>180</v>
      </c>
      <c r="E305" s="13" t="s">
        <v>174</v>
      </c>
      <c r="F305" s="13">
        <f t="shared" si="16"/>
        <v>180</v>
      </c>
      <c r="G305" s="14">
        <f>IFERROR(INDEX('4. Master Ingredient Inventory'!$I$2:$I$109,MATCH($C305,'4. Master Ingredient Inventory'!$B$2:$B$109,0)),0)</f>
        <v>4.8000000000000001E-2</v>
      </c>
      <c r="H305" s="15">
        <f t="shared" si="17"/>
        <v>8.64</v>
      </c>
      <c r="I305" s="13">
        <f t="shared" si="18"/>
        <v>180</v>
      </c>
      <c r="J305" s="15">
        <f t="shared" si="19"/>
        <v>8.64</v>
      </c>
    </row>
    <row r="306" spans="1:10" ht="15" customHeight="1" x14ac:dyDescent="0.25">
      <c r="A306" s="13" t="s">
        <v>33</v>
      </c>
      <c r="B306" s="13" t="s">
        <v>32</v>
      </c>
      <c r="C306" s="13" t="s">
        <v>555</v>
      </c>
      <c r="D306" s="13">
        <v>30</v>
      </c>
      <c r="E306" s="13" t="s">
        <v>174</v>
      </c>
      <c r="F306" s="13">
        <f t="shared" si="16"/>
        <v>30</v>
      </c>
      <c r="G306" s="14">
        <f>IFERROR(INDEX('4. Master Ingredient Inventory'!$I$2:$I$109,MATCH($C306,'4. Master Ingredient Inventory'!$B$2:$B$109,0)),0)</f>
        <v>0.22</v>
      </c>
      <c r="H306" s="15">
        <f t="shared" si="17"/>
        <v>6.6</v>
      </c>
      <c r="I306" s="13">
        <f t="shared" si="18"/>
        <v>30</v>
      </c>
      <c r="J306" s="15">
        <f t="shared" si="19"/>
        <v>6.6</v>
      </c>
    </row>
    <row r="307" spans="1:10" ht="15" customHeight="1" x14ac:dyDescent="0.25">
      <c r="A307" s="13" t="s">
        <v>33</v>
      </c>
      <c r="B307" s="13" t="s">
        <v>32</v>
      </c>
      <c r="C307" s="13" t="s">
        <v>638</v>
      </c>
      <c r="D307" s="13">
        <v>50</v>
      </c>
      <c r="E307" s="13" t="s">
        <v>174</v>
      </c>
      <c r="F307" s="13">
        <f t="shared" si="16"/>
        <v>50</v>
      </c>
      <c r="G307" s="14">
        <f>IFERROR(INDEX('4. Master Ingredient Inventory'!$I$2:$I$109,MATCH($C307,'4. Master Ingredient Inventory'!$B$2:$B$109,0)),0)</f>
        <v>7.0000000000000007E-2</v>
      </c>
      <c r="H307" s="15">
        <f t="shared" si="17"/>
        <v>3.5000000000000004</v>
      </c>
      <c r="I307" s="13">
        <f t="shared" si="18"/>
        <v>50</v>
      </c>
      <c r="J307" s="15">
        <f t="shared" si="19"/>
        <v>3.5000000000000004</v>
      </c>
    </row>
    <row r="308" spans="1:10" ht="15" customHeight="1" x14ac:dyDescent="0.25">
      <c r="A308" s="13" t="s">
        <v>33</v>
      </c>
      <c r="B308" s="13" t="s">
        <v>32</v>
      </c>
      <c r="C308" s="13" t="s">
        <v>660</v>
      </c>
      <c r="D308" s="13">
        <v>35</v>
      </c>
      <c r="E308" s="13" t="s">
        <v>163</v>
      </c>
      <c r="F308" s="13">
        <f t="shared" si="16"/>
        <v>35</v>
      </c>
      <c r="G308" s="14">
        <f>IFERROR(INDEX('4. Master Ingredient Inventory'!$I$2:$I$109,MATCH($C308,'4. Master Ingredient Inventory'!$B$2:$B$109,0)),0)</f>
        <v>2E-3</v>
      </c>
      <c r="H308" s="15">
        <f t="shared" si="17"/>
        <v>7.0000000000000007E-2</v>
      </c>
      <c r="I308" s="13">
        <f t="shared" si="18"/>
        <v>35</v>
      </c>
      <c r="J308" s="15">
        <f t="shared" si="19"/>
        <v>7.0000000000000007E-2</v>
      </c>
    </row>
    <row r="309" spans="1:10" ht="15" customHeight="1" x14ac:dyDescent="0.25">
      <c r="A309" s="13" t="s">
        <v>34</v>
      </c>
      <c r="B309" s="13" t="s">
        <v>35</v>
      </c>
      <c r="C309" s="13" t="s">
        <v>204</v>
      </c>
      <c r="D309" s="13">
        <v>100</v>
      </c>
      <c r="E309" s="13" t="s">
        <v>174</v>
      </c>
      <c r="F309" s="13">
        <f t="shared" si="16"/>
        <v>100</v>
      </c>
      <c r="G309" s="14">
        <f>IFERROR(INDEX('4. Master Ingredient Inventory'!$I$2:$I$109,MATCH($C309,'4. Master Ingredient Inventory'!$B$2:$B$109,0)),0)</f>
        <v>0.42</v>
      </c>
      <c r="H309" s="15">
        <f t="shared" si="17"/>
        <v>42</v>
      </c>
      <c r="I309" s="13">
        <f t="shared" si="18"/>
        <v>100</v>
      </c>
      <c r="J309" s="15">
        <f t="shared" si="19"/>
        <v>42</v>
      </c>
    </row>
    <row r="310" spans="1:10" ht="15" customHeight="1" x14ac:dyDescent="0.25">
      <c r="A310" s="13" t="s">
        <v>34</v>
      </c>
      <c r="B310" s="13" t="s">
        <v>35</v>
      </c>
      <c r="C310" s="13" t="s">
        <v>618</v>
      </c>
      <c r="D310" s="13">
        <v>15</v>
      </c>
      <c r="E310" s="13" t="s">
        <v>163</v>
      </c>
      <c r="F310" s="13">
        <f t="shared" si="16"/>
        <v>15</v>
      </c>
      <c r="G310" s="14">
        <f>IFERROR(INDEX('4. Master Ingredient Inventory'!$I$2:$I$109,MATCH($C310,'4. Master Ingredient Inventory'!$B$2:$B$109,0)),0)</f>
        <v>6.5000000000000002E-2</v>
      </c>
      <c r="H310" s="15">
        <f t="shared" si="17"/>
        <v>0.97500000000000009</v>
      </c>
      <c r="I310" s="13">
        <f t="shared" si="18"/>
        <v>15</v>
      </c>
      <c r="J310" s="15">
        <f t="shared" si="19"/>
        <v>0.97500000000000009</v>
      </c>
    </row>
    <row r="311" spans="1:10" ht="15" customHeight="1" x14ac:dyDescent="0.25">
      <c r="A311" s="13" t="s">
        <v>34</v>
      </c>
      <c r="B311" s="13" t="s">
        <v>35</v>
      </c>
      <c r="C311" s="13" t="s">
        <v>255</v>
      </c>
      <c r="D311" s="13">
        <v>10</v>
      </c>
      <c r="E311" s="13" t="s">
        <v>163</v>
      </c>
      <c r="F311" s="13">
        <f t="shared" si="16"/>
        <v>10</v>
      </c>
      <c r="G311" s="14">
        <f>IFERROR(INDEX('4. Master Ingredient Inventory'!$I$2:$I$109,MATCH($C311,'4. Master Ingredient Inventory'!$B$2:$B$109,0)),0)</f>
        <v>0.15</v>
      </c>
      <c r="H311" s="15">
        <f t="shared" si="17"/>
        <v>1.5</v>
      </c>
      <c r="I311" s="13">
        <f t="shared" si="18"/>
        <v>10</v>
      </c>
      <c r="J311" s="15">
        <f t="shared" si="19"/>
        <v>1.5</v>
      </c>
    </row>
    <row r="312" spans="1:10" ht="15" customHeight="1" x14ac:dyDescent="0.25">
      <c r="A312" s="13" t="s">
        <v>34</v>
      </c>
      <c r="B312" s="13" t="s">
        <v>35</v>
      </c>
      <c r="C312" s="13" t="s">
        <v>238</v>
      </c>
      <c r="D312" s="13">
        <v>5</v>
      </c>
      <c r="E312" s="13" t="s">
        <v>174</v>
      </c>
      <c r="F312" s="13">
        <f t="shared" si="16"/>
        <v>5</v>
      </c>
      <c r="G312" s="14">
        <f>IFERROR(INDEX('4. Master Ingredient Inventory'!$I$2:$I$109,MATCH($C312,'4. Master Ingredient Inventory'!$B$2:$B$109,0)),0)</f>
        <v>8.2000000000000003E-2</v>
      </c>
      <c r="H312" s="15">
        <f t="shared" si="17"/>
        <v>0.41000000000000003</v>
      </c>
      <c r="I312" s="13">
        <f t="shared" si="18"/>
        <v>5</v>
      </c>
      <c r="J312" s="15">
        <f t="shared" si="19"/>
        <v>0.41000000000000003</v>
      </c>
    </row>
    <row r="313" spans="1:10" ht="15" customHeight="1" x14ac:dyDescent="0.25">
      <c r="A313" s="13" t="s">
        <v>34</v>
      </c>
      <c r="B313" s="13" t="s">
        <v>35</v>
      </c>
      <c r="C313" s="13" t="s">
        <v>384</v>
      </c>
      <c r="D313" s="13">
        <v>2</v>
      </c>
      <c r="E313" s="13" t="s">
        <v>701</v>
      </c>
      <c r="F313" s="13">
        <f t="shared" si="16"/>
        <v>2</v>
      </c>
      <c r="G313" s="14">
        <f>IFERROR(INDEX('4. Master Ingredient Inventory'!$I$2:$I$109,MATCH($C313,'4. Master Ingredient Inventory'!$B$2:$B$109,0)),0)</f>
        <v>0.9</v>
      </c>
      <c r="H313" s="15">
        <f t="shared" si="17"/>
        <v>1.8</v>
      </c>
      <c r="I313" s="13">
        <f t="shared" si="18"/>
        <v>2</v>
      </c>
      <c r="J313" s="15">
        <f t="shared" si="19"/>
        <v>1.8</v>
      </c>
    </row>
    <row r="314" spans="1:10" ht="15" customHeight="1" x14ac:dyDescent="0.25">
      <c r="A314" s="13" t="s">
        <v>34</v>
      </c>
      <c r="B314" s="13" t="s">
        <v>35</v>
      </c>
      <c r="C314" s="13" t="s">
        <v>598</v>
      </c>
      <c r="D314" s="13">
        <v>1</v>
      </c>
      <c r="E314" s="13" t="s">
        <v>174</v>
      </c>
      <c r="F314" s="13">
        <f t="shared" si="16"/>
        <v>1</v>
      </c>
      <c r="G314" s="14">
        <f>IFERROR(INDEX('4. Master Ingredient Inventory'!$I$2:$I$109,MATCH($C314,'4. Master Ingredient Inventory'!$B$2:$B$109,0)),0)</f>
        <v>0.03</v>
      </c>
      <c r="H314" s="15">
        <f t="shared" si="17"/>
        <v>0.03</v>
      </c>
      <c r="I314" s="13">
        <f t="shared" si="18"/>
        <v>1</v>
      </c>
      <c r="J314" s="15">
        <f t="shared" si="19"/>
        <v>0.03</v>
      </c>
    </row>
    <row r="315" spans="1:10" ht="15" customHeight="1" x14ac:dyDescent="0.25">
      <c r="A315" s="13" t="s">
        <v>34</v>
      </c>
      <c r="B315" s="13" t="s">
        <v>35</v>
      </c>
      <c r="C315" s="13" t="s">
        <v>210</v>
      </c>
      <c r="D315" s="13">
        <v>0.5</v>
      </c>
      <c r="E315" s="13" t="s">
        <v>174</v>
      </c>
      <c r="F315" s="13">
        <f t="shared" si="16"/>
        <v>0.5</v>
      </c>
      <c r="G315" s="14">
        <f>IFERROR(INDEX('4. Master Ingredient Inventory'!$I$2:$I$109,MATCH($C315,'4. Master Ingredient Inventory'!$B$2:$B$109,0)),0)</f>
        <v>0.65</v>
      </c>
      <c r="H315" s="15">
        <f t="shared" si="17"/>
        <v>0.32500000000000001</v>
      </c>
      <c r="I315" s="13">
        <f t="shared" si="18"/>
        <v>0.5</v>
      </c>
      <c r="J315" s="15">
        <f t="shared" si="19"/>
        <v>0.32500000000000001</v>
      </c>
    </row>
    <row r="316" spans="1:10" ht="15" customHeight="1" x14ac:dyDescent="0.25">
      <c r="A316" s="13" t="s">
        <v>34</v>
      </c>
      <c r="B316" s="13" t="s">
        <v>35</v>
      </c>
      <c r="C316" s="13" t="s">
        <v>194</v>
      </c>
      <c r="D316" s="13">
        <v>0.5</v>
      </c>
      <c r="E316" s="13" t="s">
        <v>174</v>
      </c>
      <c r="F316" s="13">
        <f t="shared" si="16"/>
        <v>0.5</v>
      </c>
      <c r="G316" s="14">
        <f>IFERROR(INDEX('4. Master Ingredient Inventory'!$I$2:$I$109,MATCH($C316,'4. Master Ingredient Inventory'!$B$2:$B$109,0)),0)</f>
        <v>0.12</v>
      </c>
      <c r="H316" s="15">
        <f t="shared" si="17"/>
        <v>0.06</v>
      </c>
      <c r="I316" s="13">
        <f t="shared" si="18"/>
        <v>0.5</v>
      </c>
      <c r="J316" s="15">
        <f t="shared" si="19"/>
        <v>0.06</v>
      </c>
    </row>
    <row r="317" spans="1:10" ht="15" customHeight="1" x14ac:dyDescent="0.25">
      <c r="A317" s="13" t="s">
        <v>34</v>
      </c>
      <c r="B317" s="13" t="s">
        <v>35</v>
      </c>
      <c r="C317" s="13" t="s">
        <v>323</v>
      </c>
      <c r="D317" s="13">
        <v>10</v>
      </c>
      <c r="E317" s="13" t="s">
        <v>163</v>
      </c>
      <c r="F317" s="13">
        <f t="shared" si="16"/>
        <v>10</v>
      </c>
      <c r="G317" s="14">
        <f>IFERROR(INDEX('4. Master Ingredient Inventory'!$I$2:$I$109,MATCH($C317,'4. Master Ingredient Inventory'!$B$2:$B$109,0)),0)</f>
        <v>0.09</v>
      </c>
      <c r="H317" s="15">
        <f t="shared" si="17"/>
        <v>0.89999999999999991</v>
      </c>
      <c r="I317" s="13">
        <f t="shared" si="18"/>
        <v>10</v>
      </c>
      <c r="J317" s="15">
        <f t="shared" si="19"/>
        <v>0.89999999999999991</v>
      </c>
    </row>
    <row r="318" spans="1:10" ht="15" customHeight="1" x14ac:dyDescent="0.25">
      <c r="A318" s="13" t="s">
        <v>34</v>
      </c>
      <c r="B318" s="13" t="s">
        <v>35</v>
      </c>
      <c r="C318" s="13" t="s">
        <v>316</v>
      </c>
      <c r="D318" s="13">
        <v>180</v>
      </c>
      <c r="E318" s="13" t="s">
        <v>174</v>
      </c>
      <c r="F318" s="13">
        <f t="shared" si="16"/>
        <v>180</v>
      </c>
      <c r="G318" s="14">
        <f>IFERROR(INDEX('4. Master Ingredient Inventory'!$I$2:$I$109,MATCH($C318,'4. Master Ingredient Inventory'!$B$2:$B$109,0)),0)</f>
        <v>4.8000000000000001E-2</v>
      </c>
      <c r="H318" s="15">
        <f t="shared" si="17"/>
        <v>8.64</v>
      </c>
      <c r="I318" s="13">
        <f t="shared" si="18"/>
        <v>180</v>
      </c>
      <c r="J318" s="15">
        <f t="shared" si="19"/>
        <v>8.64</v>
      </c>
    </row>
    <row r="319" spans="1:10" ht="15" customHeight="1" x14ac:dyDescent="0.25">
      <c r="A319" s="13" t="s">
        <v>34</v>
      </c>
      <c r="B319" s="13" t="s">
        <v>35</v>
      </c>
      <c r="C319" s="13" t="s">
        <v>384</v>
      </c>
      <c r="D319" s="13">
        <v>2</v>
      </c>
      <c r="E319" s="13" t="s">
        <v>701</v>
      </c>
      <c r="F319" s="13">
        <f t="shared" si="16"/>
        <v>2</v>
      </c>
      <c r="G319" s="14">
        <f>IFERROR(INDEX('4. Master Ingredient Inventory'!$I$2:$I$109,MATCH($C319,'4. Master Ingredient Inventory'!$B$2:$B$109,0)),0)</f>
        <v>0.9</v>
      </c>
      <c r="H319" s="15">
        <f t="shared" si="17"/>
        <v>1.8</v>
      </c>
      <c r="I319" s="13">
        <f t="shared" si="18"/>
        <v>2</v>
      </c>
      <c r="J319" s="15">
        <f t="shared" si="19"/>
        <v>1.8</v>
      </c>
    </row>
    <row r="320" spans="1:10" ht="15" customHeight="1" x14ac:dyDescent="0.25">
      <c r="A320" s="13" t="s">
        <v>34</v>
      </c>
      <c r="B320" s="13" t="s">
        <v>35</v>
      </c>
      <c r="C320" s="13" t="s">
        <v>323</v>
      </c>
      <c r="D320" s="13">
        <v>10</v>
      </c>
      <c r="E320" s="13" t="s">
        <v>163</v>
      </c>
      <c r="F320" s="13">
        <f t="shared" si="16"/>
        <v>10</v>
      </c>
      <c r="G320" s="14">
        <f>IFERROR(INDEX('4. Master Ingredient Inventory'!$I$2:$I$109,MATCH($C320,'4. Master Ingredient Inventory'!$B$2:$B$109,0)),0)</f>
        <v>0.09</v>
      </c>
      <c r="H320" s="15">
        <f t="shared" si="17"/>
        <v>0.89999999999999991</v>
      </c>
      <c r="I320" s="13">
        <f t="shared" si="18"/>
        <v>10</v>
      </c>
      <c r="J320" s="15">
        <f t="shared" si="19"/>
        <v>0.89999999999999991</v>
      </c>
    </row>
    <row r="321" spans="1:10" ht="15" customHeight="1" x14ac:dyDescent="0.25">
      <c r="A321" s="13" t="s">
        <v>34</v>
      </c>
      <c r="B321" s="13" t="s">
        <v>35</v>
      </c>
      <c r="C321" s="13" t="s">
        <v>598</v>
      </c>
      <c r="D321" s="13">
        <v>1</v>
      </c>
      <c r="E321" s="13" t="s">
        <v>174</v>
      </c>
      <c r="F321" s="13">
        <f t="shared" si="16"/>
        <v>1</v>
      </c>
      <c r="G321" s="14">
        <f>IFERROR(INDEX('4. Master Ingredient Inventory'!$I$2:$I$109,MATCH($C321,'4. Master Ingredient Inventory'!$B$2:$B$109,0)),0)</f>
        <v>0.03</v>
      </c>
      <c r="H321" s="15">
        <f t="shared" si="17"/>
        <v>0.03</v>
      </c>
      <c r="I321" s="13">
        <f t="shared" si="18"/>
        <v>1</v>
      </c>
      <c r="J321" s="15">
        <f t="shared" si="19"/>
        <v>0.03</v>
      </c>
    </row>
    <row r="322" spans="1:10" ht="15" customHeight="1" x14ac:dyDescent="0.25">
      <c r="A322" s="13" t="s">
        <v>34</v>
      </c>
      <c r="B322" s="13" t="s">
        <v>35</v>
      </c>
      <c r="C322" s="13" t="s">
        <v>210</v>
      </c>
      <c r="D322" s="13">
        <v>0.2</v>
      </c>
      <c r="E322" s="13" t="s">
        <v>174</v>
      </c>
      <c r="F322" s="13">
        <f t="shared" si="16"/>
        <v>0.2</v>
      </c>
      <c r="G322" s="14">
        <f>IFERROR(INDEX('4. Master Ingredient Inventory'!$I$2:$I$109,MATCH($C322,'4. Master Ingredient Inventory'!$B$2:$B$109,0)),0)</f>
        <v>0.65</v>
      </c>
      <c r="H322" s="15">
        <f t="shared" si="17"/>
        <v>0.13</v>
      </c>
      <c r="I322" s="13">
        <f t="shared" si="18"/>
        <v>0.2</v>
      </c>
      <c r="J322" s="15">
        <f t="shared" si="19"/>
        <v>0.13</v>
      </c>
    </row>
    <row r="323" spans="1:10" ht="15" customHeight="1" x14ac:dyDescent="0.25">
      <c r="A323" s="13" t="s">
        <v>34</v>
      </c>
      <c r="B323" s="13" t="s">
        <v>35</v>
      </c>
      <c r="C323" s="13" t="s">
        <v>356</v>
      </c>
      <c r="D323" s="13">
        <v>2</v>
      </c>
      <c r="E323" s="13" t="s">
        <v>222</v>
      </c>
      <c r="F323" s="13">
        <f t="shared" si="16"/>
        <v>2</v>
      </c>
      <c r="G323" s="14">
        <f>IFERROR(INDEX('4. Master Ingredient Inventory'!$I$2:$I$109,MATCH($C323,'4. Master Ingredient Inventory'!$B$2:$B$109,0)),0)</f>
        <v>8</v>
      </c>
      <c r="H323" s="15">
        <f t="shared" si="17"/>
        <v>16</v>
      </c>
      <c r="I323" s="13">
        <f t="shared" si="18"/>
        <v>2</v>
      </c>
      <c r="J323" s="15">
        <f t="shared" si="19"/>
        <v>16</v>
      </c>
    </row>
    <row r="324" spans="1:10" ht="15" customHeight="1" x14ac:dyDescent="0.25">
      <c r="A324" s="13" t="s">
        <v>34</v>
      </c>
      <c r="B324" s="13" t="s">
        <v>35</v>
      </c>
      <c r="C324" s="13" t="s">
        <v>323</v>
      </c>
      <c r="D324" s="13">
        <v>10</v>
      </c>
      <c r="E324" s="13" t="s">
        <v>163</v>
      </c>
      <c r="F324" s="13">
        <f t="shared" ref="F324:F387" si="20">$D324*1</f>
        <v>10</v>
      </c>
      <c r="G324" s="14">
        <f>IFERROR(INDEX('4. Master Ingredient Inventory'!$I$2:$I$109,MATCH($C324,'4. Master Ingredient Inventory'!$B$2:$B$109,0)),0)</f>
        <v>0.09</v>
      </c>
      <c r="H324" s="15">
        <f t="shared" ref="H324:H387" si="21">$F324*$G324</f>
        <v>0.89999999999999991</v>
      </c>
      <c r="I324" s="13">
        <f t="shared" ref="I324:I387" si="22">IF(AND($C324="Cooking Oil",$D324&gt;=100),$D324*$L$1,$F324)</f>
        <v>10</v>
      </c>
      <c r="J324" s="15">
        <f t="shared" ref="J324:J387" si="23">$I324*$G324</f>
        <v>0.89999999999999991</v>
      </c>
    </row>
    <row r="325" spans="1:10" ht="15" customHeight="1" x14ac:dyDescent="0.25">
      <c r="A325" s="13" t="s">
        <v>34</v>
      </c>
      <c r="B325" s="13" t="s">
        <v>35</v>
      </c>
      <c r="C325" s="13" t="s">
        <v>654</v>
      </c>
      <c r="D325" s="13">
        <v>15</v>
      </c>
      <c r="E325" s="13" t="s">
        <v>163</v>
      </c>
      <c r="F325" s="13">
        <f t="shared" si="20"/>
        <v>15</v>
      </c>
      <c r="G325" s="14">
        <f>IFERROR(INDEX('4. Master Ingredient Inventory'!$I$2:$I$109,MATCH($C325,'4. Master Ingredient Inventory'!$B$2:$B$109,0)),0)</f>
        <v>0.05</v>
      </c>
      <c r="H325" s="15">
        <f t="shared" si="21"/>
        <v>0.75</v>
      </c>
      <c r="I325" s="13">
        <f t="shared" si="22"/>
        <v>15</v>
      </c>
      <c r="J325" s="15">
        <f t="shared" si="23"/>
        <v>0.75</v>
      </c>
    </row>
    <row r="326" spans="1:10" ht="15" customHeight="1" x14ac:dyDescent="0.25">
      <c r="A326" s="13" t="s">
        <v>36</v>
      </c>
      <c r="B326" s="13" t="s">
        <v>35</v>
      </c>
      <c r="C326" s="13" t="s">
        <v>36</v>
      </c>
      <c r="D326" s="13">
        <v>100</v>
      </c>
      <c r="E326" s="13" t="s">
        <v>174</v>
      </c>
      <c r="F326" s="13">
        <f t="shared" si="20"/>
        <v>100</v>
      </c>
      <c r="G326" s="14">
        <f>IFERROR(INDEX('4. Master Ingredient Inventory'!$I$2:$I$109,MATCH($C326,'4. Master Ingredient Inventory'!$B$2:$B$109,0)),0)</f>
        <v>0.32</v>
      </c>
      <c r="H326" s="15">
        <f t="shared" si="21"/>
        <v>32</v>
      </c>
      <c r="I326" s="13">
        <f t="shared" si="22"/>
        <v>100</v>
      </c>
      <c r="J326" s="15">
        <f t="shared" si="23"/>
        <v>32</v>
      </c>
    </row>
    <row r="327" spans="1:10" ht="15" customHeight="1" x14ac:dyDescent="0.25">
      <c r="A327" s="13" t="s">
        <v>36</v>
      </c>
      <c r="B327" s="13" t="s">
        <v>35</v>
      </c>
      <c r="C327" s="13" t="s">
        <v>323</v>
      </c>
      <c r="D327" s="13">
        <v>10</v>
      </c>
      <c r="E327" s="13" t="s">
        <v>163</v>
      </c>
      <c r="F327" s="13">
        <f t="shared" si="20"/>
        <v>10</v>
      </c>
      <c r="G327" s="14">
        <f>IFERROR(INDEX('4. Master Ingredient Inventory'!$I$2:$I$109,MATCH($C327,'4. Master Ingredient Inventory'!$B$2:$B$109,0)),0)</f>
        <v>0.09</v>
      </c>
      <c r="H327" s="15">
        <f t="shared" si="21"/>
        <v>0.89999999999999991</v>
      </c>
      <c r="I327" s="13">
        <f t="shared" si="22"/>
        <v>10</v>
      </c>
      <c r="J327" s="15">
        <f t="shared" si="23"/>
        <v>0.89999999999999991</v>
      </c>
    </row>
    <row r="328" spans="1:10" ht="15" customHeight="1" x14ac:dyDescent="0.25">
      <c r="A328" s="13" t="s">
        <v>36</v>
      </c>
      <c r="B328" s="13" t="s">
        <v>35</v>
      </c>
      <c r="C328" s="13" t="s">
        <v>316</v>
      </c>
      <c r="D328" s="13">
        <v>180</v>
      </c>
      <c r="E328" s="13" t="s">
        <v>174</v>
      </c>
      <c r="F328" s="13">
        <f t="shared" si="20"/>
        <v>180</v>
      </c>
      <c r="G328" s="14">
        <f>IFERROR(INDEX('4. Master Ingredient Inventory'!$I$2:$I$109,MATCH($C328,'4. Master Ingredient Inventory'!$B$2:$B$109,0)),0)</f>
        <v>4.8000000000000001E-2</v>
      </c>
      <c r="H328" s="15">
        <f t="shared" si="21"/>
        <v>8.64</v>
      </c>
      <c r="I328" s="13">
        <f t="shared" si="22"/>
        <v>180</v>
      </c>
      <c r="J328" s="15">
        <f t="shared" si="23"/>
        <v>8.64</v>
      </c>
    </row>
    <row r="329" spans="1:10" ht="15" customHeight="1" x14ac:dyDescent="0.25">
      <c r="A329" s="13" t="s">
        <v>36</v>
      </c>
      <c r="B329" s="13" t="s">
        <v>35</v>
      </c>
      <c r="C329" s="13" t="s">
        <v>384</v>
      </c>
      <c r="D329" s="13">
        <v>2</v>
      </c>
      <c r="E329" s="13" t="s">
        <v>701</v>
      </c>
      <c r="F329" s="13">
        <f t="shared" si="20"/>
        <v>2</v>
      </c>
      <c r="G329" s="14">
        <f>IFERROR(INDEX('4. Master Ingredient Inventory'!$I$2:$I$109,MATCH($C329,'4. Master Ingredient Inventory'!$B$2:$B$109,0)),0)</f>
        <v>0.9</v>
      </c>
      <c r="H329" s="15">
        <f t="shared" si="21"/>
        <v>1.8</v>
      </c>
      <c r="I329" s="13">
        <f t="shared" si="22"/>
        <v>2</v>
      </c>
      <c r="J329" s="15">
        <f t="shared" si="23"/>
        <v>1.8</v>
      </c>
    </row>
    <row r="330" spans="1:10" ht="15" customHeight="1" x14ac:dyDescent="0.25">
      <c r="A330" s="13" t="s">
        <v>36</v>
      </c>
      <c r="B330" s="13" t="s">
        <v>35</v>
      </c>
      <c r="C330" s="13" t="s">
        <v>323</v>
      </c>
      <c r="D330" s="13">
        <v>10</v>
      </c>
      <c r="E330" s="13" t="s">
        <v>163</v>
      </c>
      <c r="F330" s="13">
        <f t="shared" si="20"/>
        <v>10</v>
      </c>
      <c r="G330" s="14">
        <f>IFERROR(INDEX('4. Master Ingredient Inventory'!$I$2:$I$109,MATCH($C330,'4. Master Ingredient Inventory'!$B$2:$B$109,0)),0)</f>
        <v>0.09</v>
      </c>
      <c r="H330" s="15">
        <f t="shared" si="21"/>
        <v>0.89999999999999991</v>
      </c>
      <c r="I330" s="13">
        <f t="shared" si="22"/>
        <v>10</v>
      </c>
      <c r="J330" s="15">
        <f t="shared" si="23"/>
        <v>0.89999999999999991</v>
      </c>
    </row>
    <row r="331" spans="1:10" ht="15" customHeight="1" x14ac:dyDescent="0.25">
      <c r="A331" s="13" t="s">
        <v>36</v>
      </c>
      <c r="B331" s="13" t="s">
        <v>35</v>
      </c>
      <c r="C331" s="13" t="s">
        <v>598</v>
      </c>
      <c r="D331" s="13">
        <v>1</v>
      </c>
      <c r="E331" s="13" t="s">
        <v>174</v>
      </c>
      <c r="F331" s="13">
        <f t="shared" si="20"/>
        <v>1</v>
      </c>
      <c r="G331" s="14">
        <f>IFERROR(INDEX('4. Master Ingredient Inventory'!$I$2:$I$109,MATCH($C331,'4. Master Ingredient Inventory'!$B$2:$B$109,0)),0)</f>
        <v>0.03</v>
      </c>
      <c r="H331" s="15">
        <f t="shared" si="21"/>
        <v>0.03</v>
      </c>
      <c r="I331" s="13">
        <f t="shared" si="22"/>
        <v>1</v>
      </c>
      <c r="J331" s="15">
        <f t="shared" si="23"/>
        <v>0.03</v>
      </c>
    </row>
    <row r="332" spans="1:10" ht="15" customHeight="1" x14ac:dyDescent="0.25">
      <c r="A332" s="13" t="s">
        <v>36</v>
      </c>
      <c r="B332" s="13" t="s">
        <v>35</v>
      </c>
      <c r="C332" s="13" t="s">
        <v>210</v>
      </c>
      <c r="D332" s="13">
        <v>0.5</v>
      </c>
      <c r="E332" s="13" t="s">
        <v>174</v>
      </c>
      <c r="F332" s="13">
        <f t="shared" si="20"/>
        <v>0.5</v>
      </c>
      <c r="G332" s="14">
        <f>IFERROR(INDEX('4. Master Ingredient Inventory'!$I$2:$I$109,MATCH($C332,'4. Master Ingredient Inventory'!$B$2:$B$109,0)),0)</f>
        <v>0.65</v>
      </c>
      <c r="H332" s="15">
        <f t="shared" si="21"/>
        <v>0.32500000000000001</v>
      </c>
      <c r="I332" s="13">
        <f t="shared" si="22"/>
        <v>0.5</v>
      </c>
      <c r="J332" s="15">
        <f t="shared" si="23"/>
        <v>0.32500000000000001</v>
      </c>
    </row>
    <row r="333" spans="1:10" ht="15" customHeight="1" x14ac:dyDescent="0.25">
      <c r="A333" s="13" t="s">
        <v>36</v>
      </c>
      <c r="B333" s="13" t="s">
        <v>35</v>
      </c>
      <c r="C333" s="13" t="s">
        <v>618</v>
      </c>
      <c r="D333" s="13">
        <v>5</v>
      </c>
      <c r="E333" s="13" t="s">
        <v>163</v>
      </c>
      <c r="F333" s="13">
        <f t="shared" si="20"/>
        <v>5</v>
      </c>
      <c r="G333" s="14">
        <f>IFERROR(INDEX('4. Master Ingredient Inventory'!$I$2:$I$109,MATCH($C333,'4. Master Ingredient Inventory'!$B$2:$B$109,0)),0)</f>
        <v>6.5000000000000002E-2</v>
      </c>
      <c r="H333" s="15">
        <f t="shared" si="21"/>
        <v>0.32500000000000001</v>
      </c>
      <c r="I333" s="13">
        <f t="shared" si="22"/>
        <v>5</v>
      </c>
      <c r="J333" s="15">
        <f t="shared" si="23"/>
        <v>0.32500000000000001</v>
      </c>
    </row>
    <row r="334" spans="1:10" ht="15" customHeight="1" x14ac:dyDescent="0.25">
      <c r="A334" s="13" t="s">
        <v>36</v>
      </c>
      <c r="B334" s="13" t="s">
        <v>35</v>
      </c>
      <c r="C334" s="13" t="s">
        <v>356</v>
      </c>
      <c r="D334" s="13">
        <v>2</v>
      </c>
      <c r="E334" s="13" t="s">
        <v>222</v>
      </c>
      <c r="F334" s="13">
        <f t="shared" si="20"/>
        <v>2</v>
      </c>
      <c r="G334" s="14">
        <f>IFERROR(INDEX('4. Master Ingredient Inventory'!$I$2:$I$109,MATCH($C334,'4. Master Ingredient Inventory'!$B$2:$B$109,0)),0)</f>
        <v>8</v>
      </c>
      <c r="H334" s="15">
        <f t="shared" si="21"/>
        <v>16</v>
      </c>
      <c r="I334" s="13">
        <f t="shared" si="22"/>
        <v>2</v>
      </c>
      <c r="J334" s="15">
        <f t="shared" si="23"/>
        <v>16</v>
      </c>
    </row>
    <row r="335" spans="1:10" ht="15" customHeight="1" x14ac:dyDescent="0.25">
      <c r="A335" s="13" t="s">
        <v>36</v>
      </c>
      <c r="B335" s="13" t="s">
        <v>35</v>
      </c>
      <c r="C335" s="13" t="s">
        <v>323</v>
      </c>
      <c r="D335" s="13">
        <v>5</v>
      </c>
      <c r="E335" s="13" t="s">
        <v>163</v>
      </c>
      <c r="F335" s="13">
        <f t="shared" si="20"/>
        <v>5</v>
      </c>
      <c r="G335" s="14">
        <f>IFERROR(INDEX('4. Master Ingredient Inventory'!$I$2:$I$109,MATCH($C335,'4. Master Ingredient Inventory'!$B$2:$B$109,0)),0)</f>
        <v>0.09</v>
      </c>
      <c r="H335" s="15">
        <f t="shared" si="21"/>
        <v>0.44999999999999996</v>
      </c>
      <c r="I335" s="13">
        <f t="shared" si="22"/>
        <v>5</v>
      </c>
      <c r="J335" s="15">
        <f t="shared" si="23"/>
        <v>0.44999999999999996</v>
      </c>
    </row>
    <row r="336" spans="1:10" ht="15" customHeight="1" x14ac:dyDescent="0.25">
      <c r="A336" s="13" t="s">
        <v>36</v>
      </c>
      <c r="B336" s="13" t="s">
        <v>35</v>
      </c>
      <c r="C336" s="13" t="s">
        <v>628</v>
      </c>
      <c r="D336" s="13">
        <v>5</v>
      </c>
      <c r="E336" s="13" t="s">
        <v>174</v>
      </c>
      <c r="F336" s="13">
        <f t="shared" si="20"/>
        <v>5</v>
      </c>
      <c r="G336" s="14">
        <f>IFERROR(INDEX('4. Master Ingredient Inventory'!$I$2:$I$109,MATCH($C336,'4. Master Ingredient Inventory'!$B$2:$B$109,0)),0)</f>
        <v>0.12</v>
      </c>
      <c r="H336" s="15">
        <f t="shared" si="21"/>
        <v>0.6</v>
      </c>
      <c r="I336" s="13">
        <f t="shared" si="22"/>
        <v>5</v>
      </c>
      <c r="J336" s="15">
        <f t="shared" si="23"/>
        <v>0.6</v>
      </c>
    </row>
    <row r="337" spans="1:10" ht="15" customHeight="1" x14ac:dyDescent="0.25">
      <c r="A337" s="13" t="s">
        <v>36</v>
      </c>
      <c r="B337" s="13" t="s">
        <v>35</v>
      </c>
      <c r="C337" s="13" t="s">
        <v>654</v>
      </c>
      <c r="D337" s="13">
        <v>15</v>
      </c>
      <c r="E337" s="13" t="s">
        <v>163</v>
      </c>
      <c r="F337" s="13">
        <f t="shared" si="20"/>
        <v>15</v>
      </c>
      <c r="G337" s="14">
        <f>IFERROR(INDEX('4. Master Ingredient Inventory'!$I$2:$I$109,MATCH($C337,'4. Master Ingredient Inventory'!$B$2:$B$109,0)),0)</f>
        <v>0.05</v>
      </c>
      <c r="H337" s="15">
        <f t="shared" si="21"/>
        <v>0.75</v>
      </c>
      <c r="I337" s="13">
        <f t="shared" si="22"/>
        <v>15</v>
      </c>
      <c r="J337" s="15">
        <f t="shared" si="23"/>
        <v>0.75</v>
      </c>
    </row>
    <row r="338" spans="1:10" ht="15" customHeight="1" x14ac:dyDescent="0.25">
      <c r="A338" s="13" t="s">
        <v>37</v>
      </c>
      <c r="B338" s="13" t="s">
        <v>35</v>
      </c>
      <c r="C338" s="13" t="s">
        <v>37</v>
      </c>
      <c r="D338" s="13">
        <v>100</v>
      </c>
      <c r="E338" s="13" t="s">
        <v>174</v>
      </c>
      <c r="F338" s="13">
        <f t="shared" si="20"/>
        <v>100</v>
      </c>
      <c r="G338" s="14">
        <f>IFERROR(INDEX('4. Master Ingredient Inventory'!$I$2:$I$109,MATCH($C338,'4. Master Ingredient Inventory'!$B$2:$B$109,0)),0)</f>
        <v>0.28000000000000003</v>
      </c>
      <c r="H338" s="15">
        <f t="shared" si="21"/>
        <v>28.000000000000004</v>
      </c>
      <c r="I338" s="13">
        <f t="shared" si="22"/>
        <v>100</v>
      </c>
      <c r="J338" s="15">
        <f t="shared" si="23"/>
        <v>28.000000000000004</v>
      </c>
    </row>
    <row r="339" spans="1:10" ht="15" customHeight="1" x14ac:dyDescent="0.25">
      <c r="A339" s="13" t="s">
        <v>37</v>
      </c>
      <c r="B339" s="13" t="s">
        <v>35</v>
      </c>
      <c r="C339" s="13" t="s">
        <v>660</v>
      </c>
      <c r="D339" s="13">
        <v>30</v>
      </c>
      <c r="E339" s="13" t="s">
        <v>163</v>
      </c>
      <c r="F339" s="13">
        <f t="shared" si="20"/>
        <v>30</v>
      </c>
      <c r="G339" s="14">
        <f>IFERROR(INDEX('4. Master Ingredient Inventory'!$I$2:$I$109,MATCH($C339,'4. Master Ingredient Inventory'!$B$2:$B$109,0)),0)</f>
        <v>2E-3</v>
      </c>
      <c r="H339" s="15">
        <f t="shared" si="21"/>
        <v>0.06</v>
      </c>
      <c r="I339" s="13">
        <f t="shared" si="22"/>
        <v>30</v>
      </c>
      <c r="J339" s="15">
        <f t="shared" si="23"/>
        <v>0.06</v>
      </c>
    </row>
    <row r="340" spans="1:10" ht="15" customHeight="1" x14ac:dyDescent="0.25">
      <c r="A340" s="13" t="s">
        <v>37</v>
      </c>
      <c r="B340" s="13" t="s">
        <v>35</v>
      </c>
      <c r="C340" s="13" t="s">
        <v>323</v>
      </c>
      <c r="D340" s="13">
        <v>5</v>
      </c>
      <c r="E340" s="13" t="s">
        <v>163</v>
      </c>
      <c r="F340" s="13">
        <f t="shared" si="20"/>
        <v>5</v>
      </c>
      <c r="G340" s="14">
        <f>IFERROR(INDEX('4. Master Ingredient Inventory'!$I$2:$I$109,MATCH($C340,'4. Master Ingredient Inventory'!$B$2:$B$109,0)),0)</f>
        <v>0.09</v>
      </c>
      <c r="H340" s="15">
        <f t="shared" si="21"/>
        <v>0.44999999999999996</v>
      </c>
      <c r="I340" s="13">
        <f t="shared" si="22"/>
        <v>5</v>
      </c>
      <c r="J340" s="15">
        <f t="shared" si="23"/>
        <v>0.44999999999999996</v>
      </c>
    </row>
    <row r="341" spans="1:10" ht="15" customHeight="1" x14ac:dyDescent="0.25">
      <c r="A341" s="13" t="s">
        <v>37</v>
      </c>
      <c r="B341" s="13" t="s">
        <v>35</v>
      </c>
      <c r="C341" s="13" t="s">
        <v>316</v>
      </c>
      <c r="D341" s="13">
        <v>180</v>
      </c>
      <c r="E341" s="13" t="s">
        <v>174</v>
      </c>
      <c r="F341" s="13">
        <f t="shared" si="20"/>
        <v>180</v>
      </c>
      <c r="G341" s="14">
        <f>IFERROR(INDEX('4. Master Ingredient Inventory'!$I$2:$I$109,MATCH($C341,'4. Master Ingredient Inventory'!$B$2:$B$109,0)),0)</f>
        <v>4.8000000000000001E-2</v>
      </c>
      <c r="H341" s="15">
        <f t="shared" si="21"/>
        <v>8.64</v>
      </c>
      <c r="I341" s="13">
        <f t="shared" si="22"/>
        <v>180</v>
      </c>
      <c r="J341" s="15">
        <f t="shared" si="23"/>
        <v>8.64</v>
      </c>
    </row>
    <row r="342" spans="1:10" ht="15" customHeight="1" x14ac:dyDescent="0.25">
      <c r="A342" s="13" t="s">
        <v>37</v>
      </c>
      <c r="B342" s="13" t="s">
        <v>35</v>
      </c>
      <c r="C342" s="13" t="s">
        <v>384</v>
      </c>
      <c r="D342" s="13">
        <v>2</v>
      </c>
      <c r="E342" s="13" t="s">
        <v>701</v>
      </c>
      <c r="F342" s="13">
        <f t="shared" si="20"/>
        <v>2</v>
      </c>
      <c r="G342" s="14">
        <f>IFERROR(INDEX('4. Master Ingredient Inventory'!$I$2:$I$109,MATCH($C342,'4. Master Ingredient Inventory'!$B$2:$B$109,0)),0)</f>
        <v>0.9</v>
      </c>
      <c r="H342" s="15">
        <f t="shared" si="21"/>
        <v>1.8</v>
      </c>
      <c r="I342" s="13">
        <f t="shared" si="22"/>
        <v>2</v>
      </c>
      <c r="J342" s="15">
        <f t="shared" si="23"/>
        <v>1.8</v>
      </c>
    </row>
    <row r="343" spans="1:10" ht="15" customHeight="1" x14ac:dyDescent="0.25">
      <c r="A343" s="13" t="s">
        <v>37</v>
      </c>
      <c r="B343" s="13" t="s">
        <v>35</v>
      </c>
      <c r="C343" s="13" t="s">
        <v>323</v>
      </c>
      <c r="D343" s="13">
        <v>10</v>
      </c>
      <c r="E343" s="13" t="s">
        <v>163</v>
      </c>
      <c r="F343" s="13">
        <f t="shared" si="20"/>
        <v>10</v>
      </c>
      <c r="G343" s="14">
        <f>IFERROR(INDEX('4. Master Ingredient Inventory'!$I$2:$I$109,MATCH($C343,'4. Master Ingredient Inventory'!$B$2:$B$109,0)),0)</f>
        <v>0.09</v>
      </c>
      <c r="H343" s="15">
        <f t="shared" si="21"/>
        <v>0.89999999999999991</v>
      </c>
      <c r="I343" s="13">
        <f t="shared" si="22"/>
        <v>10</v>
      </c>
      <c r="J343" s="15">
        <f t="shared" si="23"/>
        <v>0.89999999999999991</v>
      </c>
    </row>
    <row r="344" spans="1:10" ht="15" customHeight="1" x14ac:dyDescent="0.25">
      <c r="A344" s="13" t="s">
        <v>37</v>
      </c>
      <c r="B344" s="13" t="s">
        <v>35</v>
      </c>
      <c r="C344" s="13" t="s">
        <v>598</v>
      </c>
      <c r="D344" s="13">
        <v>1</v>
      </c>
      <c r="E344" s="13" t="s">
        <v>174</v>
      </c>
      <c r="F344" s="13">
        <f t="shared" si="20"/>
        <v>1</v>
      </c>
      <c r="G344" s="14">
        <f>IFERROR(INDEX('4. Master Ingredient Inventory'!$I$2:$I$109,MATCH($C344,'4. Master Ingredient Inventory'!$B$2:$B$109,0)),0)</f>
        <v>0.03</v>
      </c>
      <c r="H344" s="15">
        <f t="shared" si="21"/>
        <v>0.03</v>
      </c>
      <c r="I344" s="13">
        <f t="shared" si="22"/>
        <v>1</v>
      </c>
      <c r="J344" s="15">
        <f t="shared" si="23"/>
        <v>0.03</v>
      </c>
    </row>
    <row r="345" spans="1:10" ht="15" customHeight="1" x14ac:dyDescent="0.25">
      <c r="A345" s="13" t="s">
        <v>37</v>
      </c>
      <c r="B345" s="13" t="s">
        <v>35</v>
      </c>
      <c r="C345" s="13" t="s">
        <v>210</v>
      </c>
      <c r="D345" s="13">
        <v>0.5</v>
      </c>
      <c r="E345" s="13" t="s">
        <v>174</v>
      </c>
      <c r="F345" s="13">
        <f t="shared" si="20"/>
        <v>0.5</v>
      </c>
      <c r="G345" s="14">
        <f>IFERROR(INDEX('4. Master Ingredient Inventory'!$I$2:$I$109,MATCH($C345,'4. Master Ingredient Inventory'!$B$2:$B$109,0)),0)</f>
        <v>0.65</v>
      </c>
      <c r="H345" s="15">
        <f t="shared" si="21"/>
        <v>0.32500000000000001</v>
      </c>
      <c r="I345" s="13">
        <f t="shared" si="22"/>
        <v>0.5</v>
      </c>
      <c r="J345" s="15">
        <f t="shared" si="23"/>
        <v>0.32500000000000001</v>
      </c>
    </row>
    <row r="346" spans="1:10" ht="15" customHeight="1" x14ac:dyDescent="0.25">
      <c r="A346" s="13" t="s">
        <v>37</v>
      </c>
      <c r="B346" s="13" t="s">
        <v>35</v>
      </c>
      <c r="C346" s="13" t="s">
        <v>618</v>
      </c>
      <c r="D346" s="13">
        <v>5</v>
      </c>
      <c r="E346" s="13" t="s">
        <v>163</v>
      </c>
      <c r="F346" s="13">
        <f t="shared" si="20"/>
        <v>5</v>
      </c>
      <c r="G346" s="14">
        <f>IFERROR(INDEX('4. Master Ingredient Inventory'!$I$2:$I$109,MATCH($C346,'4. Master Ingredient Inventory'!$B$2:$B$109,0)),0)</f>
        <v>6.5000000000000002E-2</v>
      </c>
      <c r="H346" s="15">
        <f t="shared" si="21"/>
        <v>0.32500000000000001</v>
      </c>
      <c r="I346" s="13">
        <f t="shared" si="22"/>
        <v>5</v>
      </c>
      <c r="J346" s="15">
        <f t="shared" si="23"/>
        <v>0.32500000000000001</v>
      </c>
    </row>
    <row r="347" spans="1:10" ht="15" customHeight="1" x14ac:dyDescent="0.25">
      <c r="A347" s="13" t="s">
        <v>37</v>
      </c>
      <c r="B347" s="13" t="s">
        <v>35</v>
      </c>
      <c r="C347" s="13" t="s">
        <v>356</v>
      </c>
      <c r="D347" s="13">
        <v>2</v>
      </c>
      <c r="E347" s="13" t="s">
        <v>222</v>
      </c>
      <c r="F347" s="13">
        <f t="shared" si="20"/>
        <v>2</v>
      </c>
      <c r="G347" s="14">
        <f>IFERROR(INDEX('4. Master Ingredient Inventory'!$I$2:$I$109,MATCH($C347,'4. Master Ingredient Inventory'!$B$2:$B$109,0)),0)</f>
        <v>8</v>
      </c>
      <c r="H347" s="15">
        <f t="shared" si="21"/>
        <v>16</v>
      </c>
      <c r="I347" s="13">
        <f t="shared" si="22"/>
        <v>2</v>
      </c>
      <c r="J347" s="15">
        <f t="shared" si="23"/>
        <v>16</v>
      </c>
    </row>
    <row r="348" spans="1:10" ht="15" customHeight="1" x14ac:dyDescent="0.25">
      <c r="A348" s="13" t="s">
        <v>37</v>
      </c>
      <c r="B348" s="13" t="s">
        <v>35</v>
      </c>
      <c r="C348" s="13" t="s">
        <v>323</v>
      </c>
      <c r="D348" s="13">
        <v>5</v>
      </c>
      <c r="E348" s="13" t="s">
        <v>163</v>
      </c>
      <c r="F348" s="13">
        <f t="shared" si="20"/>
        <v>5</v>
      </c>
      <c r="G348" s="14">
        <f>IFERROR(INDEX('4. Master Ingredient Inventory'!$I$2:$I$109,MATCH($C348,'4. Master Ingredient Inventory'!$B$2:$B$109,0)),0)</f>
        <v>0.09</v>
      </c>
      <c r="H348" s="15">
        <f t="shared" si="21"/>
        <v>0.44999999999999996</v>
      </c>
      <c r="I348" s="13">
        <f t="shared" si="22"/>
        <v>5</v>
      </c>
      <c r="J348" s="15">
        <f t="shared" si="23"/>
        <v>0.44999999999999996</v>
      </c>
    </row>
    <row r="349" spans="1:10" ht="15" customHeight="1" x14ac:dyDescent="0.25">
      <c r="A349" s="13" t="s">
        <v>37</v>
      </c>
      <c r="B349" s="13" t="s">
        <v>35</v>
      </c>
      <c r="C349" s="13" t="s">
        <v>628</v>
      </c>
      <c r="D349" s="13">
        <v>5</v>
      </c>
      <c r="E349" s="13" t="s">
        <v>174</v>
      </c>
      <c r="F349" s="13">
        <f t="shared" si="20"/>
        <v>5</v>
      </c>
      <c r="G349" s="14">
        <f>IFERROR(INDEX('4. Master Ingredient Inventory'!$I$2:$I$109,MATCH($C349,'4. Master Ingredient Inventory'!$B$2:$B$109,0)),0)</f>
        <v>0.12</v>
      </c>
      <c r="H349" s="15">
        <f t="shared" si="21"/>
        <v>0.6</v>
      </c>
      <c r="I349" s="13">
        <f t="shared" si="22"/>
        <v>5</v>
      </c>
      <c r="J349" s="15">
        <f t="shared" si="23"/>
        <v>0.6</v>
      </c>
    </row>
    <row r="350" spans="1:10" ht="15" customHeight="1" x14ac:dyDescent="0.25">
      <c r="A350" s="13" t="s">
        <v>37</v>
      </c>
      <c r="B350" s="13" t="s">
        <v>35</v>
      </c>
      <c r="C350" s="13" t="s">
        <v>654</v>
      </c>
      <c r="D350" s="13">
        <v>15</v>
      </c>
      <c r="E350" s="13" t="s">
        <v>163</v>
      </c>
      <c r="F350" s="13">
        <f t="shared" si="20"/>
        <v>15</v>
      </c>
      <c r="G350" s="14">
        <f>IFERROR(INDEX('4. Master Ingredient Inventory'!$I$2:$I$109,MATCH($C350,'4. Master Ingredient Inventory'!$B$2:$B$109,0)),0)</f>
        <v>0.05</v>
      </c>
      <c r="H350" s="15">
        <f t="shared" si="21"/>
        <v>0.75</v>
      </c>
      <c r="I350" s="13">
        <f t="shared" si="22"/>
        <v>15</v>
      </c>
      <c r="J350" s="15">
        <f t="shared" si="23"/>
        <v>0.75</v>
      </c>
    </row>
    <row r="351" spans="1:10" ht="15" customHeight="1" x14ac:dyDescent="0.25">
      <c r="A351" s="13" t="s">
        <v>38</v>
      </c>
      <c r="B351" s="13" t="s">
        <v>35</v>
      </c>
      <c r="C351" s="13" t="s">
        <v>623</v>
      </c>
      <c r="D351" s="13">
        <v>100</v>
      </c>
      <c r="E351" s="13" t="s">
        <v>174</v>
      </c>
      <c r="F351" s="13">
        <f t="shared" si="20"/>
        <v>100</v>
      </c>
      <c r="G351" s="14">
        <f>IFERROR(INDEX('4. Master Ingredient Inventory'!$I$2:$I$109,MATCH($C351,'4. Master Ingredient Inventory'!$B$2:$B$109,0)),0)</f>
        <v>0.54411764705882348</v>
      </c>
      <c r="H351" s="15">
        <f t="shared" si="21"/>
        <v>54.411764705882348</v>
      </c>
      <c r="I351" s="13">
        <f t="shared" si="22"/>
        <v>100</v>
      </c>
      <c r="J351" s="15">
        <f t="shared" si="23"/>
        <v>54.411764705882348</v>
      </c>
    </row>
    <row r="352" spans="1:10" ht="15" customHeight="1" x14ac:dyDescent="0.25">
      <c r="A352" s="13" t="s">
        <v>38</v>
      </c>
      <c r="B352" s="13" t="s">
        <v>35</v>
      </c>
      <c r="C352" s="13" t="s">
        <v>323</v>
      </c>
      <c r="D352" s="13">
        <v>5</v>
      </c>
      <c r="E352" s="13" t="s">
        <v>163</v>
      </c>
      <c r="F352" s="13">
        <f t="shared" si="20"/>
        <v>5</v>
      </c>
      <c r="G352" s="14">
        <f>IFERROR(INDEX('4. Master Ingredient Inventory'!$I$2:$I$109,MATCH($C352,'4. Master Ingredient Inventory'!$B$2:$B$109,0)),0)</f>
        <v>0.09</v>
      </c>
      <c r="H352" s="15">
        <f t="shared" si="21"/>
        <v>0.44999999999999996</v>
      </c>
      <c r="I352" s="13">
        <f t="shared" si="22"/>
        <v>5</v>
      </c>
      <c r="J352" s="15">
        <f t="shared" si="23"/>
        <v>0.44999999999999996</v>
      </c>
    </row>
    <row r="353" spans="1:10" ht="15" customHeight="1" x14ac:dyDescent="0.25">
      <c r="A353" s="13" t="s">
        <v>38</v>
      </c>
      <c r="B353" s="13" t="s">
        <v>35</v>
      </c>
      <c r="C353" s="13" t="s">
        <v>316</v>
      </c>
      <c r="D353" s="13">
        <v>180</v>
      </c>
      <c r="E353" s="13" t="s">
        <v>174</v>
      </c>
      <c r="F353" s="13">
        <f t="shared" si="20"/>
        <v>180</v>
      </c>
      <c r="G353" s="14">
        <f>IFERROR(INDEX('4. Master Ingredient Inventory'!$I$2:$I$109,MATCH($C353,'4. Master Ingredient Inventory'!$B$2:$B$109,0)),0)</f>
        <v>4.8000000000000001E-2</v>
      </c>
      <c r="H353" s="15">
        <f t="shared" si="21"/>
        <v>8.64</v>
      </c>
      <c r="I353" s="13">
        <f t="shared" si="22"/>
        <v>180</v>
      </c>
      <c r="J353" s="15">
        <f t="shared" si="23"/>
        <v>8.64</v>
      </c>
    </row>
    <row r="354" spans="1:10" ht="15" customHeight="1" x14ac:dyDescent="0.25">
      <c r="A354" s="13" t="s">
        <v>38</v>
      </c>
      <c r="B354" s="13" t="s">
        <v>35</v>
      </c>
      <c r="C354" s="13" t="s">
        <v>384</v>
      </c>
      <c r="D354" s="13">
        <v>2</v>
      </c>
      <c r="E354" s="13" t="s">
        <v>701</v>
      </c>
      <c r="F354" s="13">
        <f t="shared" si="20"/>
        <v>2</v>
      </c>
      <c r="G354" s="14">
        <f>IFERROR(INDEX('4. Master Ingredient Inventory'!$I$2:$I$109,MATCH($C354,'4. Master Ingredient Inventory'!$B$2:$B$109,0)),0)</f>
        <v>0.9</v>
      </c>
      <c r="H354" s="15">
        <f t="shared" si="21"/>
        <v>1.8</v>
      </c>
      <c r="I354" s="13">
        <f t="shared" si="22"/>
        <v>2</v>
      </c>
      <c r="J354" s="15">
        <f t="shared" si="23"/>
        <v>1.8</v>
      </c>
    </row>
    <row r="355" spans="1:10" ht="15" customHeight="1" x14ac:dyDescent="0.25">
      <c r="A355" s="13" t="s">
        <v>38</v>
      </c>
      <c r="B355" s="13" t="s">
        <v>35</v>
      </c>
      <c r="C355" s="13" t="s">
        <v>323</v>
      </c>
      <c r="D355" s="13">
        <v>10</v>
      </c>
      <c r="E355" s="13" t="s">
        <v>163</v>
      </c>
      <c r="F355" s="13">
        <f t="shared" si="20"/>
        <v>10</v>
      </c>
      <c r="G355" s="14">
        <f>IFERROR(INDEX('4. Master Ingredient Inventory'!$I$2:$I$109,MATCH($C355,'4. Master Ingredient Inventory'!$B$2:$B$109,0)),0)</f>
        <v>0.09</v>
      </c>
      <c r="H355" s="15">
        <f t="shared" si="21"/>
        <v>0.89999999999999991</v>
      </c>
      <c r="I355" s="13">
        <f t="shared" si="22"/>
        <v>10</v>
      </c>
      <c r="J355" s="15">
        <f t="shared" si="23"/>
        <v>0.89999999999999991</v>
      </c>
    </row>
    <row r="356" spans="1:10" ht="15" customHeight="1" x14ac:dyDescent="0.25">
      <c r="A356" s="13" t="s">
        <v>38</v>
      </c>
      <c r="B356" s="13" t="s">
        <v>35</v>
      </c>
      <c r="C356" s="13" t="s">
        <v>598</v>
      </c>
      <c r="D356" s="13">
        <v>1</v>
      </c>
      <c r="E356" s="13" t="s">
        <v>174</v>
      </c>
      <c r="F356" s="13">
        <f t="shared" si="20"/>
        <v>1</v>
      </c>
      <c r="G356" s="14">
        <f>IFERROR(INDEX('4. Master Ingredient Inventory'!$I$2:$I$109,MATCH($C356,'4. Master Ingredient Inventory'!$B$2:$B$109,0)),0)</f>
        <v>0.03</v>
      </c>
      <c r="H356" s="15">
        <f t="shared" si="21"/>
        <v>0.03</v>
      </c>
      <c r="I356" s="13">
        <f t="shared" si="22"/>
        <v>1</v>
      </c>
      <c r="J356" s="15">
        <f t="shared" si="23"/>
        <v>0.03</v>
      </c>
    </row>
    <row r="357" spans="1:10" ht="15" customHeight="1" x14ac:dyDescent="0.25">
      <c r="A357" s="13" t="s">
        <v>38</v>
      </c>
      <c r="B357" s="13" t="s">
        <v>35</v>
      </c>
      <c r="C357" s="13" t="s">
        <v>210</v>
      </c>
      <c r="D357" s="13">
        <v>0.5</v>
      </c>
      <c r="E357" s="13" t="s">
        <v>174</v>
      </c>
      <c r="F357" s="13">
        <f t="shared" si="20"/>
        <v>0.5</v>
      </c>
      <c r="G357" s="14">
        <f>IFERROR(INDEX('4. Master Ingredient Inventory'!$I$2:$I$109,MATCH($C357,'4. Master Ingredient Inventory'!$B$2:$B$109,0)),0)</f>
        <v>0.65</v>
      </c>
      <c r="H357" s="15">
        <f t="shared" si="21"/>
        <v>0.32500000000000001</v>
      </c>
      <c r="I357" s="13">
        <f t="shared" si="22"/>
        <v>0.5</v>
      </c>
      <c r="J357" s="15">
        <f t="shared" si="23"/>
        <v>0.32500000000000001</v>
      </c>
    </row>
    <row r="358" spans="1:10" ht="15" customHeight="1" x14ac:dyDescent="0.25">
      <c r="A358" s="13" t="s">
        <v>38</v>
      </c>
      <c r="B358" s="13" t="s">
        <v>35</v>
      </c>
      <c r="C358" s="13" t="s">
        <v>618</v>
      </c>
      <c r="D358" s="13">
        <v>5</v>
      </c>
      <c r="E358" s="13" t="s">
        <v>163</v>
      </c>
      <c r="F358" s="13">
        <f t="shared" si="20"/>
        <v>5</v>
      </c>
      <c r="G358" s="14">
        <f>IFERROR(INDEX('4. Master Ingredient Inventory'!$I$2:$I$109,MATCH($C358,'4. Master Ingredient Inventory'!$B$2:$B$109,0)),0)</f>
        <v>6.5000000000000002E-2</v>
      </c>
      <c r="H358" s="15">
        <f t="shared" si="21"/>
        <v>0.32500000000000001</v>
      </c>
      <c r="I358" s="13">
        <f t="shared" si="22"/>
        <v>5</v>
      </c>
      <c r="J358" s="15">
        <f t="shared" si="23"/>
        <v>0.32500000000000001</v>
      </c>
    </row>
    <row r="359" spans="1:10" ht="15" customHeight="1" x14ac:dyDescent="0.25">
      <c r="A359" s="13" t="s">
        <v>38</v>
      </c>
      <c r="B359" s="13" t="s">
        <v>35</v>
      </c>
      <c r="C359" s="13" t="s">
        <v>356</v>
      </c>
      <c r="D359" s="13">
        <v>2</v>
      </c>
      <c r="E359" s="13" t="s">
        <v>222</v>
      </c>
      <c r="F359" s="13">
        <f t="shared" si="20"/>
        <v>2</v>
      </c>
      <c r="G359" s="14">
        <f>IFERROR(INDEX('4. Master Ingredient Inventory'!$I$2:$I$109,MATCH($C359,'4. Master Ingredient Inventory'!$B$2:$B$109,0)),0)</f>
        <v>8</v>
      </c>
      <c r="H359" s="15">
        <f t="shared" si="21"/>
        <v>16</v>
      </c>
      <c r="I359" s="13">
        <f t="shared" si="22"/>
        <v>2</v>
      </c>
      <c r="J359" s="15">
        <f t="shared" si="23"/>
        <v>16</v>
      </c>
    </row>
    <row r="360" spans="1:10" ht="15" customHeight="1" x14ac:dyDescent="0.25">
      <c r="A360" s="13" t="s">
        <v>38</v>
      </c>
      <c r="B360" s="13" t="s">
        <v>35</v>
      </c>
      <c r="C360" s="13" t="s">
        <v>323</v>
      </c>
      <c r="D360" s="13">
        <v>5</v>
      </c>
      <c r="E360" s="13" t="s">
        <v>163</v>
      </c>
      <c r="F360" s="13">
        <f t="shared" si="20"/>
        <v>5</v>
      </c>
      <c r="G360" s="14">
        <f>IFERROR(INDEX('4. Master Ingredient Inventory'!$I$2:$I$109,MATCH($C360,'4. Master Ingredient Inventory'!$B$2:$B$109,0)),0)</f>
        <v>0.09</v>
      </c>
      <c r="H360" s="15">
        <f t="shared" si="21"/>
        <v>0.44999999999999996</v>
      </c>
      <c r="I360" s="13">
        <f t="shared" si="22"/>
        <v>5</v>
      </c>
      <c r="J360" s="15">
        <f t="shared" si="23"/>
        <v>0.44999999999999996</v>
      </c>
    </row>
    <row r="361" spans="1:10" ht="15" customHeight="1" x14ac:dyDescent="0.25">
      <c r="A361" s="13" t="s">
        <v>38</v>
      </c>
      <c r="B361" s="13" t="s">
        <v>35</v>
      </c>
      <c r="C361" s="13" t="s">
        <v>628</v>
      </c>
      <c r="D361" s="13">
        <v>5</v>
      </c>
      <c r="E361" s="13" t="s">
        <v>174</v>
      </c>
      <c r="F361" s="13">
        <f t="shared" si="20"/>
        <v>5</v>
      </c>
      <c r="G361" s="14">
        <f>IFERROR(INDEX('4. Master Ingredient Inventory'!$I$2:$I$109,MATCH($C361,'4. Master Ingredient Inventory'!$B$2:$B$109,0)),0)</f>
        <v>0.12</v>
      </c>
      <c r="H361" s="15">
        <f t="shared" si="21"/>
        <v>0.6</v>
      </c>
      <c r="I361" s="13">
        <f t="shared" si="22"/>
        <v>5</v>
      </c>
      <c r="J361" s="15">
        <f t="shared" si="23"/>
        <v>0.6</v>
      </c>
    </row>
    <row r="362" spans="1:10" ht="15" customHeight="1" x14ac:dyDescent="0.25">
      <c r="A362" s="13" t="s">
        <v>38</v>
      </c>
      <c r="B362" s="13" t="s">
        <v>35</v>
      </c>
      <c r="C362" s="13" t="s">
        <v>654</v>
      </c>
      <c r="D362" s="13">
        <v>15</v>
      </c>
      <c r="E362" s="13" t="s">
        <v>163</v>
      </c>
      <c r="F362" s="13">
        <f t="shared" si="20"/>
        <v>15</v>
      </c>
      <c r="G362" s="14">
        <f>IFERROR(INDEX('4. Master Ingredient Inventory'!$I$2:$I$109,MATCH($C362,'4. Master Ingredient Inventory'!$B$2:$B$109,0)),0)</f>
        <v>0.05</v>
      </c>
      <c r="H362" s="15">
        <f t="shared" si="21"/>
        <v>0.75</v>
      </c>
      <c r="I362" s="13">
        <f t="shared" si="22"/>
        <v>15</v>
      </c>
      <c r="J362" s="15">
        <f t="shared" si="23"/>
        <v>0.75</v>
      </c>
    </row>
    <row r="363" spans="1:10" ht="15" customHeight="1" x14ac:dyDescent="0.25">
      <c r="A363" s="13" t="s">
        <v>39</v>
      </c>
      <c r="B363" s="13" t="s">
        <v>35</v>
      </c>
      <c r="C363" s="13" t="s">
        <v>180</v>
      </c>
      <c r="D363" s="13">
        <v>80</v>
      </c>
      <c r="E363" s="13" t="s">
        <v>174</v>
      </c>
      <c r="F363" s="13">
        <f t="shared" si="20"/>
        <v>80</v>
      </c>
      <c r="G363" s="14">
        <f>IFERROR(INDEX('4. Master Ingredient Inventory'!$I$2:$I$109,MATCH($C363,'4. Master Ingredient Inventory'!$B$2:$B$109,0)),0)</f>
        <v>0.38</v>
      </c>
      <c r="H363" s="15">
        <f t="shared" si="21"/>
        <v>30.4</v>
      </c>
      <c r="I363" s="13">
        <f t="shared" si="22"/>
        <v>80</v>
      </c>
      <c r="J363" s="15">
        <f t="shared" si="23"/>
        <v>30.4</v>
      </c>
    </row>
    <row r="364" spans="1:10" ht="15" customHeight="1" x14ac:dyDescent="0.25">
      <c r="A364" s="13" t="s">
        <v>39</v>
      </c>
      <c r="B364" s="13" t="s">
        <v>35</v>
      </c>
      <c r="C364" s="13" t="s">
        <v>323</v>
      </c>
      <c r="D364" s="13">
        <v>5</v>
      </c>
      <c r="E364" s="13" t="s">
        <v>163</v>
      </c>
      <c r="F364" s="13">
        <f t="shared" si="20"/>
        <v>5</v>
      </c>
      <c r="G364" s="14">
        <f>IFERROR(INDEX('4. Master Ingredient Inventory'!$I$2:$I$109,MATCH($C364,'4. Master Ingredient Inventory'!$B$2:$B$109,0)),0)</f>
        <v>0.09</v>
      </c>
      <c r="H364" s="15">
        <f t="shared" si="21"/>
        <v>0.44999999999999996</v>
      </c>
      <c r="I364" s="13">
        <f t="shared" si="22"/>
        <v>5</v>
      </c>
      <c r="J364" s="15">
        <f t="shared" si="23"/>
        <v>0.44999999999999996</v>
      </c>
    </row>
    <row r="365" spans="1:10" ht="15" customHeight="1" x14ac:dyDescent="0.25">
      <c r="A365" s="13" t="s">
        <v>39</v>
      </c>
      <c r="B365" s="13" t="s">
        <v>35</v>
      </c>
      <c r="C365" s="13" t="s">
        <v>316</v>
      </c>
      <c r="D365" s="13">
        <v>180</v>
      </c>
      <c r="E365" s="13" t="s">
        <v>174</v>
      </c>
      <c r="F365" s="13">
        <f t="shared" si="20"/>
        <v>180</v>
      </c>
      <c r="G365" s="14">
        <f>IFERROR(INDEX('4. Master Ingredient Inventory'!$I$2:$I$109,MATCH($C365,'4. Master Ingredient Inventory'!$B$2:$B$109,0)),0)</f>
        <v>4.8000000000000001E-2</v>
      </c>
      <c r="H365" s="15">
        <f t="shared" si="21"/>
        <v>8.64</v>
      </c>
      <c r="I365" s="13">
        <f t="shared" si="22"/>
        <v>180</v>
      </c>
      <c r="J365" s="15">
        <f t="shared" si="23"/>
        <v>8.64</v>
      </c>
    </row>
    <row r="366" spans="1:10" ht="15" customHeight="1" x14ac:dyDescent="0.25">
      <c r="A366" s="13" t="s">
        <v>39</v>
      </c>
      <c r="B366" s="13" t="s">
        <v>35</v>
      </c>
      <c r="C366" s="13" t="s">
        <v>384</v>
      </c>
      <c r="D366" s="13">
        <v>2</v>
      </c>
      <c r="E366" s="13" t="s">
        <v>701</v>
      </c>
      <c r="F366" s="13">
        <f t="shared" si="20"/>
        <v>2</v>
      </c>
      <c r="G366" s="14">
        <f>IFERROR(INDEX('4. Master Ingredient Inventory'!$I$2:$I$109,MATCH($C366,'4. Master Ingredient Inventory'!$B$2:$B$109,0)),0)</f>
        <v>0.9</v>
      </c>
      <c r="H366" s="15">
        <f t="shared" si="21"/>
        <v>1.8</v>
      </c>
      <c r="I366" s="13">
        <f t="shared" si="22"/>
        <v>2</v>
      </c>
      <c r="J366" s="15">
        <f t="shared" si="23"/>
        <v>1.8</v>
      </c>
    </row>
    <row r="367" spans="1:10" ht="15" customHeight="1" x14ac:dyDescent="0.25">
      <c r="A367" s="13" t="s">
        <v>39</v>
      </c>
      <c r="B367" s="13" t="s">
        <v>35</v>
      </c>
      <c r="C367" s="13" t="s">
        <v>323</v>
      </c>
      <c r="D367" s="13">
        <v>10</v>
      </c>
      <c r="E367" s="13" t="s">
        <v>163</v>
      </c>
      <c r="F367" s="13">
        <f t="shared" si="20"/>
        <v>10</v>
      </c>
      <c r="G367" s="14">
        <f>IFERROR(INDEX('4. Master Ingredient Inventory'!$I$2:$I$109,MATCH($C367,'4. Master Ingredient Inventory'!$B$2:$B$109,0)),0)</f>
        <v>0.09</v>
      </c>
      <c r="H367" s="15">
        <f t="shared" si="21"/>
        <v>0.89999999999999991</v>
      </c>
      <c r="I367" s="13">
        <f t="shared" si="22"/>
        <v>10</v>
      </c>
      <c r="J367" s="15">
        <f t="shared" si="23"/>
        <v>0.89999999999999991</v>
      </c>
    </row>
    <row r="368" spans="1:10" ht="15" customHeight="1" x14ac:dyDescent="0.25">
      <c r="A368" s="13" t="s">
        <v>39</v>
      </c>
      <c r="B368" s="13" t="s">
        <v>35</v>
      </c>
      <c r="C368" s="13" t="s">
        <v>598</v>
      </c>
      <c r="D368" s="13">
        <v>1</v>
      </c>
      <c r="E368" s="13" t="s">
        <v>174</v>
      </c>
      <c r="F368" s="13">
        <f t="shared" si="20"/>
        <v>1</v>
      </c>
      <c r="G368" s="14">
        <f>IFERROR(INDEX('4. Master Ingredient Inventory'!$I$2:$I$109,MATCH($C368,'4. Master Ingredient Inventory'!$B$2:$B$109,0)),0)</f>
        <v>0.03</v>
      </c>
      <c r="H368" s="15">
        <f t="shared" si="21"/>
        <v>0.03</v>
      </c>
      <c r="I368" s="13">
        <f t="shared" si="22"/>
        <v>1</v>
      </c>
      <c r="J368" s="15">
        <f t="shared" si="23"/>
        <v>0.03</v>
      </c>
    </row>
    <row r="369" spans="1:10" ht="15" customHeight="1" x14ac:dyDescent="0.25">
      <c r="A369" s="13" t="s">
        <v>39</v>
      </c>
      <c r="B369" s="13" t="s">
        <v>35</v>
      </c>
      <c r="C369" s="13" t="s">
        <v>210</v>
      </c>
      <c r="D369" s="13">
        <v>0.5</v>
      </c>
      <c r="E369" s="13" t="s">
        <v>174</v>
      </c>
      <c r="F369" s="13">
        <f t="shared" si="20"/>
        <v>0.5</v>
      </c>
      <c r="G369" s="14">
        <f>IFERROR(INDEX('4. Master Ingredient Inventory'!$I$2:$I$109,MATCH($C369,'4. Master Ingredient Inventory'!$B$2:$B$109,0)),0)</f>
        <v>0.65</v>
      </c>
      <c r="H369" s="15">
        <f t="shared" si="21"/>
        <v>0.32500000000000001</v>
      </c>
      <c r="I369" s="13">
        <f t="shared" si="22"/>
        <v>0.5</v>
      </c>
      <c r="J369" s="15">
        <f t="shared" si="23"/>
        <v>0.32500000000000001</v>
      </c>
    </row>
    <row r="370" spans="1:10" ht="15" customHeight="1" x14ac:dyDescent="0.25">
      <c r="A370" s="13" t="s">
        <v>39</v>
      </c>
      <c r="B370" s="13" t="s">
        <v>35</v>
      </c>
      <c r="C370" s="13" t="s">
        <v>618</v>
      </c>
      <c r="D370" s="13">
        <v>5</v>
      </c>
      <c r="E370" s="13" t="s">
        <v>163</v>
      </c>
      <c r="F370" s="13">
        <f t="shared" si="20"/>
        <v>5</v>
      </c>
      <c r="G370" s="14">
        <f>IFERROR(INDEX('4. Master Ingredient Inventory'!$I$2:$I$109,MATCH($C370,'4. Master Ingredient Inventory'!$B$2:$B$109,0)),0)</f>
        <v>6.5000000000000002E-2</v>
      </c>
      <c r="H370" s="15">
        <f t="shared" si="21"/>
        <v>0.32500000000000001</v>
      </c>
      <c r="I370" s="13">
        <f t="shared" si="22"/>
        <v>5</v>
      </c>
      <c r="J370" s="15">
        <f t="shared" si="23"/>
        <v>0.32500000000000001</v>
      </c>
    </row>
    <row r="371" spans="1:10" ht="15" customHeight="1" x14ac:dyDescent="0.25">
      <c r="A371" s="13" t="s">
        <v>39</v>
      </c>
      <c r="B371" s="13" t="s">
        <v>35</v>
      </c>
      <c r="C371" s="13" t="s">
        <v>356</v>
      </c>
      <c r="D371" s="13">
        <v>2</v>
      </c>
      <c r="E371" s="13" t="s">
        <v>222</v>
      </c>
      <c r="F371" s="13">
        <f t="shared" si="20"/>
        <v>2</v>
      </c>
      <c r="G371" s="14">
        <f>IFERROR(INDEX('4. Master Ingredient Inventory'!$I$2:$I$109,MATCH($C371,'4. Master Ingredient Inventory'!$B$2:$B$109,0)),0)</f>
        <v>8</v>
      </c>
      <c r="H371" s="15">
        <f t="shared" si="21"/>
        <v>16</v>
      </c>
      <c r="I371" s="13">
        <f t="shared" si="22"/>
        <v>2</v>
      </c>
      <c r="J371" s="15">
        <f t="shared" si="23"/>
        <v>16</v>
      </c>
    </row>
    <row r="372" spans="1:10" ht="15" customHeight="1" x14ac:dyDescent="0.25">
      <c r="A372" s="13" t="s">
        <v>39</v>
      </c>
      <c r="B372" s="13" t="s">
        <v>35</v>
      </c>
      <c r="C372" s="13" t="s">
        <v>323</v>
      </c>
      <c r="D372" s="13">
        <v>5</v>
      </c>
      <c r="E372" s="13" t="s">
        <v>163</v>
      </c>
      <c r="F372" s="13">
        <f t="shared" si="20"/>
        <v>5</v>
      </c>
      <c r="G372" s="14">
        <f>IFERROR(INDEX('4. Master Ingredient Inventory'!$I$2:$I$109,MATCH($C372,'4. Master Ingredient Inventory'!$B$2:$B$109,0)),0)</f>
        <v>0.09</v>
      </c>
      <c r="H372" s="15">
        <f t="shared" si="21"/>
        <v>0.44999999999999996</v>
      </c>
      <c r="I372" s="13">
        <f t="shared" si="22"/>
        <v>5</v>
      </c>
      <c r="J372" s="15">
        <f t="shared" si="23"/>
        <v>0.44999999999999996</v>
      </c>
    </row>
    <row r="373" spans="1:10" ht="15" customHeight="1" x14ac:dyDescent="0.25">
      <c r="A373" s="13" t="s">
        <v>39</v>
      </c>
      <c r="B373" s="13" t="s">
        <v>35</v>
      </c>
      <c r="C373" s="13" t="s">
        <v>628</v>
      </c>
      <c r="D373" s="13">
        <v>5</v>
      </c>
      <c r="E373" s="13" t="s">
        <v>174</v>
      </c>
      <c r="F373" s="13">
        <f t="shared" si="20"/>
        <v>5</v>
      </c>
      <c r="G373" s="14">
        <f>IFERROR(INDEX('4. Master Ingredient Inventory'!$I$2:$I$109,MATCH($C373,'4. Master Ingredient Inventory'!$B$2:$B$109,0)),0)</f>
        <v>0.12</v>
      </c>
      <c r="H373" s="15">
        <f t="shared" si="21"/>
        <v>0.6</v>
      </c>
      <c r="I373" s="13">
        <f t="shared" si="22"/>
        <v>5</v>
      </c>
      <c r="J373" s="15">
        <f t="shared" si="23"/>
        <v>0.6</v>
      </c>
    </row>
    <row r="374" spans="1:10" ht="15" customHeight="1" x14ac:dyDescent="0.25">
      <c r="A374" s="13" t="s">
        <v>39</v>
      </c>
      <c r="B374" s="13" t="s">
        <v>35</v>
      </c>
      <c r="C374" s="13" t="s">
        <v>654</v>
      </c>
      <c r="D374" s="13">
        <v>15</v>
      </c>
      <c r="E374" s="13" t="s">
        <v>163</v>
      </c>
      <c r="F374" s="13">
        <f t="shared" si="20"/>
        <v>15</v>
      </c>
      <c r="G374" s="14">
        <f>IFERROR(INDEX('4. Master Ingredient Inventory'!$I$2:$I$109,MATCH($C374,'4. Master Ingredient Inventory'!$B$2:$B$109,0)),0)</f>
        <v>0.05</v>
      </c>
      <c r="H374" s="15">
        <f t="shared" si="21"/>
        <v>0.75</v>
      </c>
      <c r="I374" s="13">
        <f t="shared" si="22"/>
        <v>15</v>
      </c>
      <c r="J374" s="15">
        <f t="shared" si="23"/>
        <v>0.75</v>
      </c>
    </row>
    <row r="375" spans="1:10" ht="15" customHeight="1" x14ac:dyDescent="0.25">
      <c r="A375" s="13" t="s">
        <v>40</v>
      </c>
      <c r="B375" s="13" t="s">
        <v>41</v>
      </c>
      <c r="C375" s="13" t="s">
        <v>379</v>
      </c>
      <c r="D375" s="13">
        <v>180</v>
      </c>
      <c r="E375" s="13" t="s">
        <v>174</v>
      </c>
      <c r="F375" s="13">
        <f t="shared" si="20"/>
        <v>180</v>
      </c>
      <c r="G375" s="14">
        <f>IFERROR(INDEX('4. Master Ingredient Inventory'!$I$2:$I$109,MATCH($C375,'4. Master Ingredient Inventory'!$B$2:$B$109,0)),0)</f>
        <v>0.18</v>
      </c>
      <c r="H375" s="15">
        <f t="shared" si="21"/>
        <v>32.4</v>
      </c>
      <c r="I375" s="13">
        <f t="shared" si="22"/>
        <v>180</v>
      </c>
      <c r="J375" s="15">
        <f t="shared" si="23"/>
        <v>32.4</v>
      </c>
    </row>
    <row r="376" spans="1:10" ht="15" customHeight="1" x14ac:dyDescent="0.25">
      <c r="A376" s="13" t="s">
        <v>40</v>
      </c>
      <c r="B376" s="13" t="s">
        <v>41</v>
      </c>
      <c r="C376" s="13" t="s">
        <v>323</v>
      </c>
      <c r="D376" s="13">
        <f>$AH$1</f>
        <v>15</v>
      </c>
      <c r="E376" s="13" t="s">
        <v>163</v>
      </c>
      <c r="F376" s="13">
        <f t="shared" si="20"/>
        <v>15</v>
      </c>
      <c r="G376" s="14">
        <f>IFERROR(INDEX('4. Master Ingredient Inventory'!$I$2:$I$109,MATCH($C376,'4. Master Ingredient Inventory'!$B$2:$B$109,0)),0)</f>
        <v>0.09</v>
      </c>
      <c r="H376" s="15">
        <f t="shared" si="21"/>
        <v>1.3499999999999999</v>
      </c>
      <c r="I376" s="13">
        <f t="shared" si="22"/>
        <v>15</v>
      </c>
      <c r="J376" s="15">
        <f t="shared" si="23"/>
        <v>1.3499999999999999</v>
      </c>
    </row>
    <row r="377" spans="1:10" ht="15" customHeight="1" x14ac:dyDescent="0.25">
      <c r="A377" s="13" t="s">
        <v>40</v>
      </c>
      <c r="B377" s="13" t="s">
        <v>41</v>
      </c>
      <c r="C377" s="13" t="s">
        <v>180</v>
      </c>
      <c r="D377" s="13">
        <v>30</v>
      </c>
      <c r="E377" s="13" t="s">
        <v>174</v>
      </c>
      <c r="F377" s="13">
        <f t="shared" si="20"/>
        <v>30</v>
      </c>
      <c r="G377" s="14">
        <f>IFERROR(INDEX('4. Master Ingredient Inventory'!$I$2:$I$109,MATCH($C377,'4. Master Ingredient Inventory'!$B$2:$B$109,0)),0)</f>
        <v>0.38</v>
      </c>
      <c r="H377" s="15">
        <f t="shared" si="21"/>
        <v>11.4</v>
      </c>
      <c r="I377" s="13">
        <f t="shared" si="22"/>
        <v>30</v>
      </c>
      <c r="J377" s="15">
        <f t="shared" si="23"/>
        <v>11.4</v>
      </c>
    </row>
    <row r="378" spans="1:10" ht="15" customHeight="1" x14ac:dyDescent="0.25">
      <c r="A378" s="13" t="s">
        <v>40</v>
      </c>
      <c r="B378" s="13" t="s">
        <v>41</v>
      </c>
      <c r="C378" s="13" t="s">
        <v>283</v>
      </c>
      <c r="D378" s="13">
        <v>50</v>
      </c>
      <c r="E378" s="13" t="s">
        <v>174</v>
      </c>
      <c r="F378" s="13">
        <f t="shared" si="20"/>
        <v>50</v>
      </c>
      <c r="G378" s="14">
        <f>IFERROR(INDEX('4. Master Ingredient Inventory'!$I$2:$I$109,MATCH($C378,'4. Master Ingredient Inventory'!$B$2:$B$109,0)),0)</f>
        <v>0.42</v>
      </c>
      <c r="H378" s="15">
        <f t="shared" si="21"/>
        <v>21</v>
      </c>
      <c r="I378" s="13">
        <f t="shared" si="22"/>
        <v>50</v>
      </c>
      <c r="J378" s="15">
        <f t="shared" si="23"/>
        <v>21</v>
      </c>
    </row>
    <row r="379" spans="1:10" ht="15" customHeight="1" x14ac:dyDescent="0.25">
      <c r="A379" s="13" t="s">
        <v>40</v>
      </c>
      <c r="B379" s="13" t="s">
        <v>41</v>
      </c>
      <c r="C379" s="13" t="s">
        <v>272</v>
      </c>
      <c r="D379" s="13">
        <v>20</v>
      </c>
      <c r="E379" s="13" t="s">
        <v>174</v>
      </c>
      <c r="F379" s="13">
        <f t="shared" si="20"/>
        <v>20</v>
      </c>
      <c r="G379" s="14">
        <f>IFERROR(INDEX('4. Master Ingredient Inventory'!$I$2:$I$109,MATCH($C379,'4. Master Ingredient Inventory'!$B$2:$B$109,0)),0)</f>
        <v>0.52</v>
      </c>
      <c r="H379" s="15">
        <f t="shared" si="21"/>
        <v>10.4</v>
      </c>
      <c r="I379" s="13">
        <f t="shared" si="22"/>
        <v>20</v>
      </c>
      <c r="J379" s="15">
        <f t="shared" si="23"/>
        <v>10.4</v>
      </c>
    </row>
    <row r="380" spans="1:10" ht="15" customHeight="1" x14ac:dyDescent="0.25">
      <c r="A380" s="13" t="s">
        <v>40</v>
      </c>
      <c r="B380" s="13" t="s">
        <v>41</v>
      </c>
      <c r="C380" s="13" t="s">
        <v>628</v>
      </c>
      <c r="D380" s="13">
        <v>5</v>
      </c>
      <c r="E380" s="13" t="s">
        <v>174</v>
      </c>
      <c r="F380" s="13">
        <f t="shared" si="20"/>
        <v>5</v>
      </c>
      <c r="G380" s="14">
        <f>IFERROR(INDEX('4. Master Ingredient Inventory'!$I$2:$I$109,MATCH($C380,'4. Master Ingredient Inventory'!$B$2:$B$109,0)),0)</f>
        <v>0.12</v>
      </c>
      <c r="H380" s="15">
        <f t="shared" si="21"/>
        <v>0.6</v>
      </c>
      <c r="I380" s="13">
        <f t="shared" si="22"/>
        <v>5</v>
      </c>
      <c r="J380" s="15">
        <f t="shared" si="23"/>
        <v>0.6</v>
      </c>
    </row>
    <row r="381" spans="1:10" ht="15" customHeight="1" x14ac:dyDescent="0.25">
      <c r="A381" s="13" t="s">
        <v>42</v>
      </c>
      <c r="B381" s="13" t="s">
        <v>41</v>
      </c>
      <c r="C381" s="13" t="s">
        <v>511</v>
      </c>
      <c r="D381" s="13">
        <v>120</v>
      </c>
      <c r="E381" s="13" t="s">
        <v>174</v>
      </c>
      <c r="F381" s="13">
        <f t="shared" si="20"/>
        <v>120</v>
      </c>
      <c r="G381" s="14">
        <f>IFERROR(INDEX('4. Master Ingredient Inventory'!$I$2:$I$109,MATCH($C381,'4. Master Ingredient Inventory'!$B$2:$B$109,0)),0)</f>
        <v>0.09</v>
      </c>
      <c r="H381" s="15">
        <f t="shared" si="21"/>
        <v>10.799999999999999</v>
      </c>
      <c r="I381" s="13">
        <f t="shared" si="22"/>
        <v>120</v>
      </c>
      <c r="J381" s="15">
        <f t="shared" si="23"/>
        <v>10.799999999999999</v>
      </c>
    </row>
    <row r="382" spans="1:10" ht="15" customHeight="1" x14ac:dyDescent="0.25">
      <c r="A382" s="13" t="s">
        <v>42</v>
      </c>
      <c r="B382" s="13" t="s">
        <v>41</v>
      </c>
      <c r="C382" s="13" t="s">
        <v>170</v>
      </c>
      <c r="D382" s="13">
        <v>40</v>
      </c>
      <c r="E382" s="13" t="s">
        <v>174</v>
      </c>
      <c r="F382" s="13">
        <f t="shared" si="20"/>
        <v>40</v>
      </c>
      <c r="G382" s="14">
        <f>IFERROR(INDEX('4. Master Ingredient Inventory'!$I$2:$I$109,MATCH($C382,'4. Master Ingredient Inventory'!$B$2:$B$109,0)),0)</f>
        <v>5.8000000000000003E-2</v>
      </c>
      <c r="H382" s="15">
        <f t="shared" si="21"/>
        <v>2.3200000000000003</v>
      </c>
      <c r="I382" s="13">
        <f t="shared" si="22"/>
        <v>40</v>
      </c>
      <c r="J382" s="15">
        <f t="shared" si="23"/>
        <v>2.3200000000000003</v>
      </c>
    </row>
    <row r="383" spans="1:10" ht="15" customHeight="1" x14ac:dyDescent="0.25">
      <c r="A383" s="13" t="s">
        <v>42</v>
      </c>
      <c r="B383" s="13" t="s">
        <v>41</v>
      </c>
      <c r="C383" s="13" t="s">
        <v>333</v>
      </c>
      <c r="D383" s="13">
        <v>20</v>
      </c>
      <c r="E383" s="13" t="s">
        <v>174</v>
      </c>
      <c r="F383" s="13">
        <f t="shared" si="20"/>
        <v>20</v>
      </c>
      <c r="G383" s="14">
        <f>IFERROR(INDEX('4. Master Ingredient Inventory'!$I$2:$I$109,MATCH($C383,'4. Master Ingredient Inventory'!$B$2:$B$109,0)),0)</f>
        <v>7.4999999999999997E-2</v>
      </c>
      <c r="H383" s="15">
        <f t="shared" si="21"/>
        <v>1.5</v>
      </c>
      <c r="I383" s="13">
        <f t="shared" si="22"/>
        <v>20</v>
      </c>
      <c r="J383" s="15">
        <f t="shared" si="23"/>
        <v>1.5</v>
      </c>
    </row>
    <row r="384" spans="1:10" ht="15" customHeight="1" x14ac:dyDescent="0.25">
      <c r="A384" s="13" t="s">
        <v>42</v>
      </c>
      <c r="B384" s="13" t="s">
        <v>41</v>
      </c>
      <c r="C384" s="13" t="s">
        <v>188</v>
      </c>
      <c r="D384" s="13">
        <v>2</v>
      </c>
      <c r="E384" s="13" t="s">
        <v>174</v>
      </c>
      <c r="F384" s="13">
        <f t="shared" si="20"/>
        <v>2</v>
      </c>
      <c r="G384" s="14">
        <f>IFERROR(INDEX('4. Master Ingredient Inventory'!$I$2:$I$109,MATCH($C384,'4. Master Ingredient Inventory'!$B$2:$B$109,0)),0)</f>
        <v>0.14000000000000001</v>
      </c>
      <c r="H384" s="15">
        <f t="shared" si="21"/>
        <v>0.28000000000000003</v>
      </c>
      <c r="I384" s="13">
        <f t="shared" si="22"/>
        <v>2</v>
      </c>
      <c r="J384" s="15">
        <f t="shared" si="23"/>
        <v>0.28000000000000003</v>
      </c>
    </row>
    <row r="385" spans="1:10" ht="15" customHeight="1" x14ac:dyDescent="0.25">
      <c r="A385" s="13" t="s">
        <v>42</v>
      </c>
      <c r="B385" s="13" t="s">
        <v>41</v>
      </c>
      <c r="C385" s="13" t="s">
        <v>598</v>
      </c>
      <c r="D385" s="13">
        <v>2</v>
      </c>
      <c r="E385" s="13" t="s">
        <v>174</v>
      </c>
      <c r="F385" s="13">
        <f t="shared" si="20"/>
        <v>2</v>
      </c>
      <c r="G385" s="14">
        <f>IFERROR(INDEX('4. Master Ingredient Inventory'!$I$2:$I$109,MATCH($C385,'4. Master Ingredient Inventory'!$B$2:$B$109,0)),0)</f>
        <v>0.03</v>
      </c>
      <c r="H385" s="15">
        <f t="shared" si="21"/>
        <v>0.06</v>
      </c>
      <c r="I385" s="13">
        <f t="shared" si="22"/>
        <v>2</v>
      </c>
      <c r="J385" s="15">
        <f t="shared" si="23"/>
        <v>0.06</v>
      </c>
    </row>
    <row r="386" spans="1:10" ht="15" customHeight="1" x14ac:dyDescent="0.25">
      <c r="A386" s="13" t="s">
        <v>42</v>
      </c>
      <c r="B386" s="13" t="s">
        <v>41</v>
      </c>
      <c r="C386" s="13" t="s">
        <v>210</v>
      </c>
      <c r="D386" s="13">
        <v>1</v>
      </c>
      <c r="E386" s="13" t="s">
        <v>174</v>
      </c>
      <c r="F386" s="13">
        <f t="shared" si="20"/>
        <v>1</v>
      </c>
      <c r="G386" s="14">
        <f>IFERROR(INDEX('4. Master Ingredient Inventory'!$I$2:$I$109,MATCH($C386,'4. Master Ingredient Inventory'!$B$2:$B$109,0)),0)</f>
        <v>0.65</v>
      </c>
      <c r="H386" s="15">
        <f t="shared" si="21"/>
        <v>0.65</v>
      </c>
      <c r="I386" s="13">
        <f t="shared" si="22"/>
        <v>1</v>
      </c>
      <c r="J386" s="15">
        <f t="shared" si="23"/>
        <v>0.65</v>
      </c>
    </row>
    <row r="387" spans="1:10" ht="15" customHeight="1" x14ac:dyDescent="0.25">
      <c r="A387" s="13" t="s">
        <v>42</v>
      </c>
      <c r="B387" s="13" t="s">
        <v>41</v>
      </c>
      <c r="C387" s="13" t="s">
        <v>532</v>
      </c>
      <c r="D387" s="13">
        <v>1</v>
      </c>
      <c r="E387" s="13" t="s">
        <v>174</v>
      </c>
      <c r="F387" s="13">
        <f t="shared" si="20"/>
        <v>1</v>
      </c>
      <c r="G387" s="14">
        <f>IFERROR(INDEX('4. Master Ingredient Inventory'!$I$2:$I$109,MATCH($C387,'4. Master Ingredient Inventory'!$B$2:$B$109,0)),0)</f>
        <v>0.6</v>
      </c>
      <c r="H387" s="15">
        <f t="shared" si="21"/>
        <v>0.6</v>
      </c>
      <c r="I387" s="13">
        <f t="shared" si="22"/>
        <v>1</v>
      </c>
      <c r="J387" s="15">
        <f t="shared" si="23"/>
        <v>0.6</v>
      </c>
    </row>
    <row r="388" spans="1:10" ht="15" customHeight="1" x14ac:dyDescent="0.25">
      <c r="A388" s="13" t="s">
        <v>42</v>
      </c>
      <c r="B388" s="13" t="s">
        <v>41</v>
      </c>
      <c r="C388" s="13" t="s">
        <v>356</v>
      </c>
      <c r="D388" s="13">
        <v>1</v>
      </c>
      <c r="E388" s="13" t="s">
        <v>222</v>
      </c>
      <c r="F388" s="13">
        <f t="shared" ref="F388:F451" si="24">$D388*1</f>
        <v>1</v>
      </c>
      <c r="G388" s="14">
        <f>IFERROR(INDEX('4. Master Ingredient Inventory'!$I$2:$I$109,MATCH($C388,'4. Master Ingredient Inventory'!$B$2:$B$109,0)),0)</f>
        <v>8</v>
      </c>
      <c r="H388" s="15">
        <f t="shared" ref="H388:H451" si="25">$F388*$G388</f>
        <v>8</v>
      </c>
      <c r="I388" s="13">
        <f t="shared" ref="I388:I451" si="26">IF(AND($C388="Cooking Oil",$D388&gt;=100),$D388*$L$1,$F388)</f>
        <v>1</v>
      </c>
      <c r="J388" s="15">
        <f t="shared" ref="J388:J451" si="27">$I388*$G388</f>
        <v>8</v>
      </c>
    </row>
    <row r="389" spans="1:10" ht="15" customHeight="1" x14ac:dyDescent="0.25">
      <c r="A389" s="13" t="s">
        <v>42</v>
      </c>
      <c r="B389" s="13" t="s">
        <v>41</v>
      </c>
      <c r="C389" s="13" t="s">
        <v>233</v>
      </c>
      <c r="D389" s="13">
        <v>40</v>
      </c>
      <c r="E389" s="13" t="s">
        <v>174</v>
      </c>
      <c r="F389" s="13">
        <f t="shared" si="24"/>
        <v>40</v>
      </c>
      <c r="G389" s="14">
        <f>IFERROR(INDEX('4. Master Ingredient Inventory'!$I$2:$I$109,MATCH($C389,'4. Master Ingredient Inventory'!$B$2:$B$109,0)),0)</f>
        <v>9.5000000000000001E-2</v>
      </c>
      <c r="H389" s="15">
        <f t="shared" si="25"/>
        <v>3.8</v>
      </c>
      <c r="I389" s="13">
        <f t="shared" si="26"/>
        <v>40</v>
      </c>
      <c r="J389" s="15">
        <f t="shared" si="27"/>
        <v>3.8</v>
      </c>
    </row>
    <row r="390" spans="1:10" ht="15" customHeight="1" x14ac:dyDescent="0.25">
      <c r="A390" s="13" t="s">
        <v>42</v>
      </c>
      <c r="B390" s="13" t="s">
        <v>41</v>
      </c>
      <c r="C390" s="13" t="s">
        <v>323</v>
      </c>
      <c r="D390" s="13">
        <f>$AE$1</f>
        <v>20</v>
      </c>
      <c r="E390" s="13" t="s">
        <v>163</v>
      </c>
      <c r="F390" s="13">
        <f t="shared" si="24"/>
        <v>20</v>
      </c>
      <c r="G390" s="14">
        <f>IFERROR(INDEX('4. Master Ingredient Inventory'!$I$2:$I$109,MATCH($C390,'4. Master Ingredient Inventory'!$B$2:$B$109,0)),0)</f>
        <v>0.09</v>
      </c>
      <c r="H390" s="15">
        <f t="shared" si="25"/>
        <v>1.7999999999999998</v>
      </c>
      <c r="I390" s="13">
        <f t="shared" si="26"/>
        <v>20</v>
      </c>
      <c r="J390" s="15">
        <f t="shared" si="27"/>
        <v>1.7999999999999998</v>
      </c>
    </row>
    <row r="391" spans="1:10" ht="15" customHeight="1" x14ac:dyDescent="0.25">
      <c r="A391" s="13" t="s">
        <v>43</v>
      </c>
      <c r="B391" s="13" t="s">
        <v>41</v>
      </c>
      <c r="C391" s="13" t="s">
        <v>665</v>
      </c>
      <c r="D391" s="13">
        <v>150</v>
      </c>
      <c r="E391" s="13" t="s">
        <v>174</v>
      </c>
      <c r="F391" s="13">
        <f t="shared" si="24"/>
        <v>150</v>
      </c>
      <c r="G391" s="14">
        <f>IFERROR(INDEX('4. Master Ingredient Inventory'!$I$2:$I$109,MATCH($C391,'4. Master Ingredient Inventory'!$B$2:$B$109,0)),0)</f>
        <v>0.22</v>
      </c>
      <c r="H391" s="15">
        <f t="shared" si="25"/>
        <v>33</v>
      </c>
      <c r="I391" s="13">
        <f t="shared" si="26"/>
        <v>150</v>
      </c>
      <c r="J391" s="15">
        <f t="shared" si="27"/>
        <v>33</v>
      </c>
    </row>
    <row r="392" spans="1:10" ht="15" customHeight="1" x14ac:dyDescent="0.25">
      <c r="A392" s="13" t="s">
        <v>43</v>
      </c>
      <c r="B392" s="13" t="s">
        <v>41</v>
      </c>
      <c r="C392" s="13" t="s">
        <v>170</v>
      </c>
      <c r="D392" s="13">
        <v>50</v>
      </c>
      <c r="E392" s="13" t="s">
        <v>174</v>
      </c>
      <c r="F392" s="13">
        <f t="shared" si="24"/>
        <v>50</v>
      </c>
      <c r="G392" s="14">
        <f>IFERROR(INDEX('4. Master Ingredient Inventory'!$I$2:$I$109,MATCH($C392,'4. Master Ingredient Inventory'!$B$2:$B$109,0)),0)</f>
        <v>5.8000000000000003E-2</v>
      </c>
      <c r="H392" s="15">
        <f t="shared" si="25"/>
        <v>2.9000000000000004</v>
      </c>
      <c r="I392" s="13">
        <f t="shared" si="26"/>
        <v>50</v>
      </c>
      <c r="J392" s="15">
        <f t="shared" si="27"/>
        <v>2.9000000000000004</v>
      </c>
    </row>
    <row r="393" spans="1:10" ht="15" customHeight="1" x14ac:dyDescent="0.25">
      <c r="A393" s="13" t="s">
        <v>43</v>
      </c>
      <c r="B393" s="13" t="s">
        <v>41</v>
      </c>
      <c r="C393" s="13" t="s">
        <v>333</v>
      </c>
      <c r="D393" s="13">
        <v>20</v>
      </c>
      <c r="E393" s="13" t="s">
        <v>174</v>
      </c>
      <c r="F393" s="13">
        <f t="shared" si="24"/>
        <v>20</v>
      </c>
      <c r="G393" s="14">
        <f>IFERROR(INDEX('4. Master Ingredient Inventory'!$I$2:$I$109,MATCH($C393,'4. Master Ingredient Inventory'!$B$2:$B$109,0)),0)</f>
        <v>7.4999999999999997E-2</v>
      </c>
      <c r="H393" s="15">
        <f t="shared" si="25"/>
        <v>1.5</v>
      </c>
      <c r="I393" s="13">
        <f t="shared" si="26"/>
        <v>20</v>
      </c>
      <c r="J393" s="15">
        <f t="shared" si="27"/>
        <v>1.5</v>
      </c>
    </row>
    <row r="394" spans="1:10" ht="15" customHeight="1" x14ac:dyDescent="0.25">
      <c r="A394" s="13" t="s">
        <v>43</v>
      </c>
      <c r="B394" s="13" t="s">
        <v>41</v>
      </c>
      <c r="C394" s="13" t="s">
        <v>188</v>
      </c>
      <c r="D394" s="13">
        <v>3</v>
      </c>
      <c r="E394" s="13" t="s">
        <v>174</v>
      </c>
      <c r="F394" s="13">
        <f t="shared" si="24"/>
        <v>3</v>
      </c>
      <c r="G394" s="14">
        <f>IFERROR(INDEX('4. Master Ingredient Inventory'!$I$2:$I$109,MATCH($C394,'4. Master Ingredient Inventory'!$B$2:$B$109,0)),0)</f>
        <v>0.14000000000000001</v>
      </c>
      <c r="H394" s="15">
        <f t="shared" si="25"/>
        <v>0.42000000000000004</v>
      </c>
      <c r="I394" s="13">
        <f t="shared" si="26"/>
        <v>3</v>
      </c>
      <c r="J394" s="15">
        <f t="shared" si="27"/>
        <v>0.42000000000000004</v>
      </c>
    </row>
    <row r="395" spans="1:10" ht="15" customHeight="1" x14ac:dyDescent="0.25">
      <c r="A395" s="13" t="s">
        <v>43</v>
      </c>
      <c r="B395" s="13" t="s">
        <v>41</v>
      </c>
      <c r="C395" s="13" t="s">
        <v>598</v>
      </c>
      <c r="D395" s="13">
        <v>2</v>
      </c>
      <c r="E395" s="13" t="s">
        <v>174</v>
      </c>
      <c r="F395" s="13">
        <f t="shared" si="24"/>
        <v>2</v>
      </c>
      <c r="G395" s="14">
        <f>IFERROR(INDEX('4. Master Ingredient Inventory'!$I$2:$I$109,MATCH($C395,'4. Master Ingredient Inventory'!$B$2:$B$109,0)),0)</f>
        <v>0.03</v>
      </c>
      <c r="H395" s="15">
        <f t="shared" si="25"/>
        <v>0.06</v>
      </c>
      <c r="I395" s="13">
        <f t="shared" si="26"/>
        <v>2</v>
      </c>
      <c r="J395" s="15">
        <f t="shared" si="27"/>
        <v>0.06</v>
      </c>
    </row>
    <row r="396" spans="1:10" ht="15" customHeight="1" x14ac:dyDescent="0.25">
      <c r="A396" s="13" t="s">
        <v>43</v>
      </c>
      <c r="B396" s="13" t="s">
        <v>41</v>
      </c>
      <c r="C396" s="13" t="s">
        <v>210</v>
      </c>
      <c r="D396" s="13">
        <v>1</v>
      </c>
      <c r="E396" s="13" t="s">
        <v>174</v>
      </c>
      <c r="F396" s="13">
        <f t="shared" si="24"/>
        <v>1</v>
      </c>
      <c r="G396" s="14">
        <f>IFERROR(INDEX('4. Master Ingredient Inventory'!$I$2:$I$109,MATCH($C396,'4. Master Ingredient Inventory'!$B$2:$B$109,0)),0)</f>
        <v>0.65</v>
      </c>
      <c r="H396" s="15">
        <f t="shared" si="25"/>
        <v>0.65</v>
      </c>
      <c r="I396" s="13">
        <f t="shared" si="26"/>
        <v>1</v>
      </c>
      <c r="J396" s="15">
        <f t="shared" si="27"/>
        <v>0.65</v>
      </c>
    </row>
    <row r="397" spans="1:10" ht="15" customHeight="1" x14ac:dyDescent="0.25">
      <c r="A397" s="13" t="s">
        <v>43</v>
      </c>
      <c r="B397" s="13" t="s">
        <v>41</v>
      </c>
      <c r="C397" s="13" t="s">
        <v>660</v>
      </c>
      <c r="D397" s="13">
        <v>110</v>
      </c>
      <c r="E397" s="13" t="s">
        <v>163</v>
      </c>
      <c r="F397" s="13">
        <f t="shared" si="24"/>
        <v>110</v>
      </c>
      <c r="G397" s="14">
        <f>IFERROR(INDEX('4. Master Ingredient Inventory'!$I$2:$I$109,MATCH($C397,'4. Master Ingredient Inventory'!$B$2:$B$109,0)),0)</f>
        <v>2E-3</v>
      </c>
      <c r="H397" s="15">
        <f t="shared" si="25"/>
        <v>0.22</v>
      </c>
      <c r="I397" s="13">
        <f t="shared" si="26"/>
        <v>110</v>
      </c>
      <c r="J397" s="15">
        <f t="shared" si="27"/>
        <v>0.22</v>
      </c>
    </row>
    <row r="398" spans="1:10" ht="15" customHeight="1" x14ac:dyDescent="0.25">
      <c r="A398" s="13" t="s">
        <v>43</v>
      </c>
      <c r="B398" s="13" t="s">
        <v>41</v>
      </c>
      <c r="C398" s="13" t="s">
        <v>379</v>
      </c>
      <c r="D398" s="13">
        <v>180</v>
      </c>
      <c r="E398" s="13" t="s">
        <v>174</v>
      </c>
      <c r="F398" s="13">
        <f t="shared" si="24"/>
        <v>180</v>
      </c>
      <c r="G398" s="14">
        <f>IFERROR(INDEX('4. Master Ingredient Inventory'!$I$2:$I$109,MATCH($C398,'4. Master Ingredient Inventory'!$B$2:$B$109,0)),0)</f>
        <v>0.18</v>
      </c>
      <c r="H398" s="15">
        <f t="shared" si="25"/>
        <v>32.4</v>
      </c>
      <c r="I398" s="13">
        <f t="shared" si="26"/>
        <v>180</v>
      </c>
      <c r="J398" s="15">
        <f t="shared" si="27"/>
        <v>32.4</v>
      </c>
    </row>
    <row r="399" spans="1:10" ht="15" customHeight="1" x14ac:dyDescent="0.25">
      <c r="A399" s="13" t="s">
        <v>43</v>
      </c>
      <c r="B399" s="13" t="s">
        <v>41</v>
      </c>
      <c r="C399" s="13" t="s">
        <v>323</v>
      </c>
      <c r="D399" s="13">
        <f>$AB$1</f>
        <v>30</v>
      </c>
      <c r="E399" s="13" t="s">
        <v>163</v>
      </c>
      <c r="F399" s="13">
        <f t="shared" si="24"/>
        <v>30</v>
      </c>
      <c r="G399" s="14">
        <f>IFERROR(INDEX('4. Master Ingredient Inventory'!$I$2:$I$109,MATCH($C399,'4. Master Ingredient Inventory'!$B$2:$B$109,0)),0)</f>
        <v>0.09</v>
      </c>
      <c r="H399" s="15">
        <f t="shared" si="25"/>
        <v>2.6999999999999997</v>
      </c>
      <c r="I399" s="13">
        <f t="shared" si="26"/>
        <v>30</v>
      </c>
      <c r="J399" s="15">
        <f t="shared" si="27"/>
        <v>2.6999999999999997</v>
      </c>
    </row>
    <row r="400" spans="1:10" ht="15" customHeight="1" x14ac:dyDescent="0.25">
      <c r="A400" s="13" t="s">
        <v>43</v>
      </c>
      <c r="B400" s="13" t="s">
        <v>41</v>
      </c>
      <c r="C400" s="13" t="s">
        <v>481</v>
      </c>
      <c r="D400" s="13">
        <v>30</v>
      </c>
      <c r="E400" s="13" t="s">
        <v>174</v>
      </c>
      <c r="F400" s="13">
        <f t="shared" si="24"/>
        <v>30</v>
      </c>
      <c r="G400" s="14">
        <f>IFERROR(INDEX('4. Master Ingredient Inventory'!$I$2:$I$109,MATCH($C400,'4. Master Ingredient Inventory'!$B$2:$B$109,0)),0)</f>
        <v>0.18</v>
      </c>
      <c r="H400" s="15">
        <f t="shared" si="25"/>
        <v>5.3999999999999995</v>
      </c>
      <c r="I400" s="13">
        <f t="shared" si="26"/>
        <v>30</v>
      </c>
      <c r="J400" s="15">
        <f t="shared" si="27"/>
        <v>5.3999999999999995</v>
      </c>
    </row>
    <row r="401" spans="1:10" ht="15" customHeight="1" x14ac:dyDescent="0.25">
      <c r="A401" s="13" t="s">
        <v>43</v>
      </c>
      <c r="B401" s="13" t="s">
        <v>41</v>
      </c>
      <c r="C401" s="13" t="s">
        <v>551</v>
      </c>
      <c r="D401" s="13">
        <v>10</v>
      </c>
      <c r="E401" s="13" t="s">
        <v>174</v>
      </c>
      <c r="F401" s="13">
        <f t="shared" si="24"/>
        <v>10</v>
      </c>
      <c r="G401" s="14">
        <f>IFERROR(INDEX('4. Master Ingredient Inventory'!$I$2:$I$109,MATCH($C401,'4. Master Ingredient Inventory'!$B$2:$B$109,0)),0)</f>
        <v>0.26</v>
      </c>
      <c r="H401" s="15">
        <f t="shared" si="25"/>
        <v>2.6</v>
      </c>
      <c r="I401" s="13">
        <f t="shared" si="26"/>
        <v>10</v>
      </c>
      <c r="J401" s="15">
        <f t="shared" si="27"/>
        <v>2.6</v>
      </c>
    </row>
    <row r="402" spans="1:10" ht="15" customHeight="1" x14ac:dyDescent="0.25">
      <c r="A402" s="13" t="s">
        <v>43</v>
      </c>
      <c r="B402" s="13" t="s">
        <v>41</v>
      </c>
      <c r="C402" s="13" t="s">
        <v>461</v>
      </c>
      <c r="D402" s="13">
        <v>5</v>
      </c>
      <c r="E402" s="13" t="s">
        <v>163</v>
      </c>
      <c r="F402" s="13">
        <f t="shared" si="24"/>
        <v>5</v>
      </c>
      <c r="G402" s="14">
        <f>IFERROR(INDEX('4. Master Ingredient Inventory'!$I$2:$I$109,MATCH($C402,'4. Master Ingredient Inventory'!$B$2:$B$109,0)),0)</f>
        <v>0.22</v>
      </c>
      <c r="H402" s="15">
        <f t="shared" si="25"/>
        <v>1.1000000000000001</v>
      </c>
      <c r="I402" s="13">
        <f t="shared" si="26"/>
        <v>5</v>
      </c>
      <c r="J402" s="15">
        <f t="shared" si="27"/>
        <v>1.1000000000000001</v>
      </c>
    </row>
    <row r="403" spans="1:10" ht="15" customHeight="1" x14ac:dyDescent="0.25">
      <c r="A403" s="13" t="s">
        <v>43</v>
      </c>
      <c r="B403" s="13" t="s">
        <v>41</v>
      </c>
      <c r="C403" s="13" t="s">
        <v>598</v>
      </c>
      <c r="D403" s="13">
        <v>0.5</v>
      </c>
      <c r="E403" s="13" t="s">
        <v>174</v>
      </c>
      <c r="F403" s="13">
        <f t="shared" si="24"/>
        <v>0.5</v>
      </c>
      <c r="G403" s="14">
        <f>IFERROR(INDEX('4. Master Ingredient Inventory'!$I$2:$I$109,MATCH($C403,'4. Master Ingredient Inventory'!$B$2:$B$109,0)),0)</f>
        <v>0.03</v>
      </c>
      <c r="H403" s="15">
        <f t="shared" si="25"/>
        <v>1.4999999999999999E-2</v>
      </c>
      <c r="I403" s="13">
        <f t="shared" si="26"/>
        <v>0.5</v>
      </c>
      <c r="J403" s="15">
        <f t="shared" si="27"/>
        <v>1.4999999999999999E-2</v>
      </c>
    </row>
    <row r="404" spans="1:10" ht="15" customHeight="1" x14ac:dyDescent="0.25">
      <c r="A404" s="13" t="s">
        <v>43</v>
      </c>
      <c r="B404" s="13" t="s">
        <v>41</v>
      </c>
      <c r="C404" s="13" t="s">
        <v>210</v>
      </c>
      <c r="D404" s="13">
        <v>0.5</v>
      </c>
      <c r="E404" s="13" t="s">
        <v>174</v>
      </c>
      <c r="F404" s="13">
        <f t="shared" si="24"/>
        <v>0.5</v>
      </c>
      <c r="G404" s="14">
        <f>IFERROR(INDEX('4. Master Ingredient Inventory'!$I$2:$I$109,MATCH($C404,'4. Master Ingredient Inventory'!$B$2:$B$109,0)),0)</f>
        <v>0.65</v>
      </c>
      <c r="H404" s="15">
        <f t="shared" si="25"/>
        <v>0.32500000000000001</v>
      </c>
      <c r="I404" s="13">
        <f t="shared" si="26"/>
        <v>0.5</v>
      </c>
      <c r="J404" s="15">
        <f t="shared" si="27"/>
        <v>0.32500000000000001</v>
      </c>
    </row>
    <row r="405" spans="1:10" ht="15" customHeight="1" x14ac:dyDescent="0.25">
      <c r="A405" s="13" t="s">
        <v>44</v>
      </c>
      <c r="B405" s="13" t="s">
        <v>45</v>
      </c>
      <c r="C405" s="13" t="s">
        <v>660</v>
      </c>
      <c r="D405" s="13">
        <v>1000</v>
      </c>
      <c r="E405" s="13" t="s">
        <v>163</v>
      </c>
      <c r="F405" s="13">
        <f t="shared" si="24"/>
        <v>1000</v>
      </c>
      <c r="G405" s="14">
        <f>IFERROR(INDEX('4. Master Ingredient Inventory'!$I$2:$I$109,MATCH($C405,'4. Master Ingredient Inventory'!$B$2:$B$109,0)),0)</f>
        <v>2E-3</v>
      </c>
      <c r="H405" s="15">
        <f t="shared" si="25"/>
        <v>2</v>
      </c>
      <c r="I405" s="13">
        <f t="shared" si="26"/>
        <v>1000</v>
      </c>
      <c r="J405" s="15">
        <f t="shared" si="27"/>
        <v>2</v>
      </c>
    </row>
    <row r="406" spans="1:10" ht="15" customHeight="1" x14ac:dyDescent="0.25">
      <c r="A406" s="13" t="s">
        <v>44</v>
      </c>
      <c r="B406" s="13" t="s">
        <v>45</v>
      </c>
      <c r="C406" s="13" t="s">
        <v>218</v>
      </c>
      <c r="D406" s="13">
        <v>2</v>
      </c>
      <c r="E406" s="13" t="s">
        <v>222</v>
      </c>
      <c r="F406" s="13">
        <f t="shared" si="24"/>
        <v>2</v>
      </c>
      <c r="G406" s="14">
        <f>IFERROR(INDEX('4. Master Ingredient Inventory'!$I$2:$I$109,MATCH($C406,'4. Master Ingredient Inventory'!$B$2:$B$109,0)),0)</f>
        <v>3.8</v>
      </c>
      <c r="H406" s="15">
        <f t="shared" si="25"/>
        <v>7.6</v>
      </c>
      <c r="I406" s="13">
        <f t="shared" si="26"/>
        <v>2</v>
      </c>
      <c r="J406" s="15">
        <f t="shared" si="27"/>
        <v>7.6</v>
      </c>
    </row>
    <row r="407" spans="1:10" ht="15" customHeight="1" x14ac:dyDescent="0.25">
      <c r="A407" s="13" t="s">
        <v>44</v>
      </c>
      <c r="B407" s="13" t="s">
        <v>45</v>
      </c>
      <c r="C407" s="13" t="s">
        <v>671</v>
      </c>
      <c r="D407" s="13">
        <v>80</v>
      </c>
      <c r="E407" s="13" t="s">
        <v>174</v>
      </c>
      <c r="F407" s="13">
        <f t="shared" si="24"/>
        <v>80</v>
      </c>
      <c r="G407" s="14">
        <f>IFERROR(INDEX('4. Master Ingredient Inventory'!$I$2:$I$109,MATCH($C407,'4. Master Ingredient Inventory'!$B$2:$B$109,0)),0)</f>
        <v>8.7999999999999995E-2</v>
      </c>
      <c r="H407" s="15">
        <f t="shared" si="25"/>
        <v>7.0399999999999991</v>
      </c>
      <c r="I407" s="13">
        <f t="shared" si="26"/>
        <v>80</v>
      </c>
      <c r="J407" s="15">
        <f t="shared" si="27"/>
        <v>7.0399999999999991</v>
      </c>
    </row>
    <row r="408" spans="1:10" ht="15" customHeight="1" x14ac:dyDescent="0.25">
      <c r="A408" s="13" t="s">
        <v>44</v>
      </c>
      <c r="B408" s="13" t="s">
        <v>45</v>
      </c>
      <c r="C408" s="13" t="s">
        <v>436</v>
      </c>
      <c r="D408" s="13">
        <v>300</v>
      </c>
      <c r="E408" s="13" t="s">
        <v>174</v>
      </c>
      <c r="F408" s="13">
        <f t="shared" si="24"/>
        <v>300</v>
      </c>
      <c r="G408" s="14">
        <f>IFERROR(INDEX('4. Master Ingredient Inventory'!$I$2:$I$109,MATCH($C408,'4. Master Ingredient Inventory'!$B$2:$B$109,0)),0)</f>
        <v>8.0000000000000002E-3</v>
      </c>
      <c r="H408" s="15">
        <f t="shared" si="25"/>
        <v>2.4</v>
      </c>
      <c r="I408" s="13">
        <f t="shared" si="26"/>
        <v>300</v>
      </c>
      <c r="J408" s="15">
        <f t="shared" si="27"/>
        <v>2.4</v>
      </c>
    </row>
    <row r="409" spans="1:10" ht="15" customHeight="1" x14ac:dyDescent="0.25">
      <c r="A409" s="13" t="s">
        <v>44</v>
      </c>
      <c r="B409" s="13" t="s">
        <v>45</v>
      </c>
      <c r="C409" s="13" t="s">
        <v>461</v>
      </c>
      <c r="D409" s="13">
        <v>15</v>
      </c>
      <c r="E409" s="13" t="s">
        <v>163</v>
      </c>
      <c r="F409" s="13">
        <f t="shared" si="24"/>
        <v>15</v>
      </c>
      <c r="G409" s="14">
        <f>IFERROR(INDEX('4. Master Ingredient Inventory'!$I$2:$I$109,MATCH($C409,'4. Master Ingredient Inventory'!$B$2:$B$109,0)),0)</f>
        <v>0.22</v>
      </c>
      <c r="H409" s="15">
        <f t="shared" si="25"/>
        <v>3.3</v>
      </c>
      <c r="I409" s="13">
        <f t="shared" si="26"/>
        <v>15</v>
      </c>
      <c r="J409" s="15">
        <f t="shared" si="27"/>
        <v>3.3</v>
      </c>
    </row>
    <row r="410" spans="1:10" ht="15" customHeight="1" x14ac:dyDescent="0.25">
      <c r="A410" s="13" t="s">
        <v>46</v>
      </c>
      <c r="B410" s="13" t="s">
        <v>45</v>
      </c>
      <c r="C410" s="13" t="s">
        <v>316</v>
      </c>
      <c r="D410" s="13">
        <v>150</v>
      </c>
      <c r="E410" s="13" t="s">
        <v>174</v>
      </c>
      <c r="F410" s="13">
        <f t="shared" si="24"/>
        <v>150</v>
      </c>
      <c r="G410" s="14">
        <f>IFERROR(INDEX('4. Master Ingredient Inventory'!$I$2:$I$109,MATCH($C410,'4. Master Ingredient Inventory'!$B$2:$B$109,0)),0)</f>
        <v>4.8000000000000001E-2</v>
      </c>
      <c r="H410" s="15">
        <f t="shared" si="25"/>
        <v>7.2</v>
      </c>
      <c r="I410" s="13">
        <f t="shared" si="26"/>
        <v>150</v>
      </c>
      <c r="J410" s="15">
        <f t="shared" si="27"/>
        <v>7.2</v>
      </c>
    </row>
    <row r="411" spans="1:10" ht="15" customHeight="1" x14ac:dyDescent="0.25">
      <c r="A411" s="13" t="s">
        <v>47</v>
      </c>
      <c r="B411" s="13" t="s">
        <v>45</v>
      </c>
      <c r="C411" s="13" t="s">
        <v>481</v>
      </c>
      <c r="D411" s="13">
        <v>20</v>
      </c>
      <c r="E411" s="13" t="s">
        <v>174</v>
      </c>
      <c r="F411" s="13">
        <f t="shared" si="24"/>
        <v>20</v>
      </c>
      <c r="G411" s="14">
        <f>IFERROR(INDEX('4. Master Ingredient Inventory'!$I$2:$I$109,MATCH($C411,'4. Master Ingredient Inventory'!$B$2:$B$109,0)),0)</f>
        <v>0.18</v>
      </c>
      <c r="H411" s="15">
        <f t="shared" si="25"/>
        <v>3.5999999999999996</v>
      </c>
      <c r="I411" s="13">
        <f t="shared" si="26"/>
        <v>20</v>
      </c>
      <c r="J411" s="15">
        <f t="shared" si="27"/>
        <v>3.5999999999999996</v>
      </c>
    </row>
    <row r="412" spans="1:10" ht="15" customHeight="1" x14ac:dyDescent="0.25">
      <c r="A412" s="13" t="s">
        <v>47</v>
      </c>
      <c r="B412" s="13" t="s">
        <v>45</v>
      </c>
      <c r="C412" s="13" t="s">
        <v>373</v>
      </c>
      <c r="D412" s="13">
        <v>10</v>
      </c>
      <c r="E412" s="13" t="s">
        <v>163</v>
      </c>
      <c r="F412" s="13">
        <f t="shared" si="24"/>
        <v>10</v>
      </c>
      <c r="G412" s="14">
        <f>IFERROR(INDEX('4. Master Ingredient Inventory'!$I$2:$I$109,MATCH($C412,'4. Master Ingredient Inventory'!$B$2:$B$109,0)),0)</f>
        <v>9.5000000000000001E-2</v>
      </c>
      <c r="H412" s="15">
        <f t="shared" si="25"/>
        <v>0.95</v>
      </c>
      <c r="I412" s="13">
        <f t="shared" si="26"/>
        <v>10</v>
      </c>
      <c r="J412" s="15">
        <f t="shared" si="27"/>
        <v>0.95</v>
      </c>
    </row>
    <row r="413" spans="1:10" ht="15" customHeight="1" x14ac:dyDescent="0.25">
      <c r="A413" s="13" t="s">
        <v>47</v>
      </c>
      <c r="B413" s="13" t="s">
        <v>45</v>
      </c>
      <c r="C413" s="13" t="s">
        <v>396</v>
      </c>
      <c r="D413" s="13">
        <v>0.5</v>
      </c>
      <c r="E413" s="13" t="s">
        <v>174</v>
      </c>
      <c r="F413" s="13">
        <f t="shared" si="24"/>
        <v>0.5</v>
      </c>
      <c r="G413" s="14">
        <f>IFERROR(INDEX('4. Master Ingredient Inventory'!$I$2:$I$109,MATCH($C413,'4. Master Ingredient Inventory'!$B$2:$B$109,0)),0)</f>
        <v>0.28000000000000003</v>
      </c>
      <c r="H413" s="15">
        <f t="shared" si="25"/>
        <v>0.14000000000000001</v>
      </c>
      <c r="I413" s="13">
        <f t="shared" si="26"/>
        <v>0.5</v>
      </c>
      <c r="J413" s="15">
        <f t="shared" si="27"/>
        <v>0.14000000000000001</v>
      </c>
    </row>
    <row r="414" spans="1:10" ht="15" customHeight="1" x14ac:dyDescent="0.25">
      <c r="A414" s="13" t="s">
        <v>47</v>
      </c>
      <c r="B414" s="13" t="s">
        <v>45</v>
      </c>
      <c r="C414" s="13" t="s">
        <v>515</v>
      </c>
      <c r="D414" s="13">
        <v>0.5</v>
      </c>
      <c r="E414" s="13" t="s">
        <v>174</v>
      </c>
      <c r="F414" s="13">
        <f t="shared" si="24"/>
        <v>0.5</v>
      </c>
      <c r="G414" s="14">
        <f>IFERROR(INDEX('4. Master Ingredient Inventory'!$I$2:$I$109,MATCH($C414,'4. Master Ingredient Inventory'!$B$2:$B$109,0)),0)</f>
        <v>0.28000000000000003</v>
      </c>
      <c r="H414" s="15">
        <f t="shared" si="25"/>
        <v>0.14000000000000001</v>
      </c>
      <c r="I414" s="13">
        <f t="shared" si="26"/>
        <v>0.5</v>
      </c>
      <c r="J414" s="15">
        <f t="shared" si="27"/>
        <v>0.14000000000000001</v>
      </c>
    </row>
    <row r="415" spans="1:10" ht="15" customHeight="1" x14ac:dyDescent="0.25">
      <c r="A415" s="13" t="s">
        <v>47</v>
      </c>
      <c r="B415" s="13" t="s">
        <v>45</v>
      </c>
      <c r="C415" s="13" t="s">
        <v>352</v>
      </c>
      <c r="D415" s="13">
        <v>0.5</v>
      </c>
      <c r="E415" s="13" t="s">
        <v>174</v>
      </c>
      <c r="F415" s="13">
        <f t="shared" si="24"/>
        <v>0.5</v>
      </c>
      <c r="G415" s="14">
        <f>IFERROR(INDEX('4. Master Ingredient Inventory'!$I$2:$I$109,MATCH($C415,'4. Master Ingredient Inventory'!$B$2:$B$109,0)),0)</f>
        <v>0.85</v>
      </c>
      <c r="H415" s="15">
        <f t="shared" si="25"/>
        <v>0.42499999999999999</v>
      </c>
      <c r="I415" s="13">
        <f t="shared" si="26"/>
        <v>0.5</v>
      </c>
      <c r="J415" s="15">
        <f t="shared" si="27"/>
        <v>0.42499999999999999</v>
      </c>
    </row>
    <row r="416" spans="1:10" ht="15" customHeight="1" x14ac:dyDescent="0.25">
      <c r="A416" s="13" t="s">
        <v>47</v>
      </c>
      <c r="B416" s="13" t="s">
        <v>45</v>
      </c>
      <c r="C416" s="13" t="s">
        <v>598</v>
      </c>
      <c r="D416" s="13">
        <v>0.3</v>
      </c>
      <c r="E416" s="13" t="s">
        <v>174</v>
      </c>
      <c r="F416" s="13">
        <f t="shared" si="24"/>
        <v>0.3</v>
      </c>
      <c r="G416" s="14">
        <f>IFERROR(INDEX('4. Master Ingredient Inventory'!$I$2:$I$109,MATCH($C416,'4. Master Ingredient Inventory'!$B$2:$B$109,0)),0)</f>
        <v>0.03</v>
      </c>
      <c r="H416" s="15">
        <f t="shared" si="25"/>
        <v>8.9999999999999993E-3</v>
      </c>
      <c r="I416" s="13">
        <f t="shared" si="26"/>
        <v>0.3</v>
      </c>
      <c r="J416" s="15">
        <f t="shared" si="27"/>
        <v>8.9999999999999993E-3</v>
      </c>
    </row>
    <row r="417" spans="1:10" ht="15" customHeight="1" x14ac:dyDescent="0.25">
      <c r="A417" s="13" t="s">
        <v>47</v>
      </c>
      <c r="B417" s="13" t="s">
        <v>45</v>
      </c>
      <c r="C417" s="13" t="s">
        <v>210</v>
      </c>
      <c r="D417" s="13">
        <v>0.2</v>
      </c>
      <c r="E417" s="13" t="s">
        <v>174</v>
      </c>
      <c r="F417" s="13">
        <f t="shared" si="24"/>
        <v>0.2</v>
      </c>
      <c r="G417" s="14">
        <f>IFERROR(INDEX('4. Master Ingredient Inventory'!$I$2:$I$109,MATCH($C417,'4. Master Ingredient Inventory'!$B$2:$B$109,0)),0)</f>
        <v>0.65</v>
      </c>
      <c r="H417" s="15">
        <f t="shared" si="25"/>
        <v>0.13</v>
      </c>
      <c r="I417" s="13">
        <f t="shared" si="26"/>
        <v>0.2</v>
      </c>
      <c r="J417" s="15">
        <f t="shared" si="27"/>
        <v>0.13</v>
      </c>
    </row>
    <row r="418" spans="1:10" ht="15" customHeight="1" x14ac:dyDescent="0.25">
      <c r="A418" s="13" t="s">
        <v>48</v>
      </c>
      <c r="B418" s="13" t="s">
        <v>49</v>
      </c>
      <c r="C418" s="13" t="s">
        <v>632</v>
      </c>
      <c r="D418" s="13">
        <v>1</v>
      </c>
      <c r="E418" s="13" t="s">
        <v>313</v>
      </c>
      <c r="F418" s="13">
        <f t="shared" si="24"/>
        <v>1</v>
      </c>
      <c r="G418" s="14">
        <f>IFERROR(INDEX('4. Master Ingredient Inventory'!$I$2:$I$109,MATCH($C418,'4. Master Ingredient Inventory'!$B$2:$B$109,0)),0)</f>
        <v>38</v>
      </c>
      <c r="H418" s="15">
        <f t="shared" si="25"/>
        <v>38</v>
      </c>
      <c r="I418" s="13">
        <f t="shared" si="26"/>
        <v>1</v>
      </c>
      <c r="J418" s="15">
        <f t="shared" si="27"/>
        <v>38</v>
      </c>
    </row>
    <row r="419" spans="1:10" ht="15" customHeight="1" x14ac:dyDescent="0.25">
      <c r="A419" s="13" t="s">
        <v>50</v>
      </c>
      <c r="B419" s="13" t="s">
        <v>49</v>
      </c>
      <c r="C419" s="13" t="s">
        <v>310</v>
      </c>
      <c r="D419" s="13">
        <v>1</v>
      </c>
      <c r="E419" s="13" t="s">
        <v>313</v>
      </c>
      <c r="F419" s="13">
        <f t="shared" si="24"/>
        <v>1</v>
      </c>
      <c r="G419" s="14">
        <f>IFERROR(INDEX('4. Master Ingredient Inventory'!$I$2:$I$109,MATCH($C419,'4. Master Ingredient Inventory'!$B$2:$B$109,0)),0)</f>
        <v>38</v>
      </c>
      <c r="H419" s="15">
        <f t="shared" si="25"/>
        <v>38</v>
      </c>
      <c r="I419" s="13">
        <f t="shared" si="26"/>
        <v>1</v>
      </c>
      <c r="J419" s="15">
        <f t="shared" si="27"/>
        <v>38</v>
      </c>
    </row>
    <row r="420" spans="1:10" ht="15" customHeight="1" x14ac:dyDescent="0.25">
      <c r="A420" s="13" t="s">
        <v>51</v>
      </c>
      <c r="B420" s="13" t="s">
        <v>49</v>
      </c>
      <c r="C420" s="13" t="s">
        <v>595</v>
      </c>
      <c r="D420" s="13">
        <v>1</v>
      </c>
      <c r="E420" s="13" t="s">
        <v>313</v>
      </c>
      <c r="F420" s="13">
        <f t="shared" si="24"/>
        <v>1</v>
      </c>
      <c r="G420" s="14">
        <f>IFERROR(INDEX('4. Master Ingredient Inventory'!$I$2:$I$109,MATCH($C420,'4. Master Ingredient Inventory'!$B$2:$B$109,0)),0)</f>
        <v>38</v>
      </c>
      <c r="H420" s="15">
        <f t="shared" si="25"/>
        <v>38</v>
      </c>
      <c r="I420" s="13">
        <f t="shared" si="26"/>
        <v>1</v>
      </c>
      <c r="J420" s="15">
        <f t="shared" si="27"/>
        <v>38</v>
      </c>
    </row>
    <row r="421" spans="1:10" ht="15" customHeight="1" x14ac:dyDescent="0.25">
      <c r="A421" s="13" t="s">
        <v>52</v>
      </c>
      <c r="B421" s="13" t="s">
        <v>49</v>
      </c>
      <c r="C421" s="13" t="s">
        <v>684</v>
      </c>
      <c r="D421" s="13">
        <v>1</v>
      </c>
      <c r="E421" s="13" t="s">
        <v>313</v>
      </c>
      <c r="F421" s="13">
        <f t="shared" si="24"/>
        <v>1</v>
      </c>
      <c r="G421" s="14">
        <f>IFERROR(INDEX('4. Master Ingredient Inventory'!$I$2:$I$109,MATCH($C421,'4. Master Ingredient Inventory'!$B$2:$B$109,0)),0)</f>
        <v>38</v>
      </c>
      <c r="H421" s="15">
        <f t="shared" si="25"/>
        <v>38</v>
      </c>
      <c r="I421" s="13">
        <f t="shared" si="26"/>
        <v>1</v>
      </c>
      <c r="J421" s="15">
        <f t="shared" si="27"/>
        <v>38</v>
      </c>
    </row>
    <row r="422" spans="1:10" ht="15" customHeight="1" x14ac:dyDescent="0.25">
      <c r="A422" s="13" t="s">
        <v>53</v>
      </c>
      <c r="B422" s="13" t="s">
        <v>54</v>
      </c>
      <c r="C422" s="13" t="s">
        <v>293</v>
      </c>
      <c r="D422" s="13">
        <v>12</v>
      </c>
      <c r="E422" s="13" t="s">
        <v>702</v>
      </c>
      <c r="F422" s="13">
        <f t="shared" si="24"/>
        <v>12</v>
      </c>
      <c r="G422" s="14">
        <f>IFERROR(INDEX('4. Master Ingredient Inventory'!$I$2:$I$109,MATCH($C422,'4. Master Ingredient Inventory'!$B$2:$B$109,0)),0)</f>
        <v>13.77</v>
      </c>
      <c r="H422" s="15">
        <f t="shared" si="25"/>
        <v>165.24</v>
      </c>
      <c r="I422" s="13">
        <f t="shared" si="26"/>
        <v>12</v>
      </c>
      <c r="J422" s="15">
        <f t="shared" si="27"/>
        <v>165.24</v>
      </c>
    </row>
    <row r="423" spans="1:10" ht="15" customHeight="1" x14ac:dyDescent="0.25">
      <c r="A423" s="13" t="s">
        <v>53</v>
      </c>
      <c r="B423" s="13" t="s">
        <v>54</v>
      </c>
      <c r="C423" s="13" t="s">
        <v>170</v>
      </c>
      <c r="D423" s="13">
        <v>60</v>
      </c>
      <c r="E423" s="13" t="s">
        <v>174</v>
      </c>
      <c r="F423" s="13">
        <f t="shared" si="24"/>
        <v>60</v>
      </c>
      <c r="G423" s="14">
        <f>IFERROR(INDEX('4. Master Ingredient Inventory'!$I$2:$I$109,MATCH($C423,'4. Master Ingredient Inventory'!$B$2:$B$109,0)),0)</f>
        <v>5.8000000000000003E-2</v>
      </c>
      <c r="H423" s="15">
        <f t="shared" si="25"/>
        <v>3.48</v>
      </c>
      <c r="I423" s="13">
        <f t="shared" si="26"/>
        <v>60</v>
      </c>
      <c r="J423" s="15">
        <f t="shared" si="27"/>
        <v>3.48</v>
      </c>
    </row>
    <row r="424" spans="1:10" ht="15" customHeight="1" x14ac:dyDescent="0.25">
      <c r="A424" s="13" t="s">
        <v>53</v>
      </c>
      <c r="B424" s="13" t="s">
        <v>54</v>
      </c>
      <c r="C424" s="13" t="s">
        <v>333</v>
      </c>
      <c r="D424" s="13">
        <v>30</v>
      </c>
      <c r="E424" s="13" t="s">
        <v>174</v>
      </c>
      <c r="F424" s="13">
        <f t="shared" si="24"/>
        <v>30</v>
      </c>
      <c r="G424" s="14">
        <f>IFERROR(INDEX('4. Master Ingredient Inventory'!$I$2:$I$109,MATCH($C424,'4. Master Ingredient Inventory'!$B$2:$B$109,0)),0)</f>
        <v>7.4999999999999997E-2</v>
      </c>
      <c r="H424" s="15">
        <f t="shared" si="25"/>
        <v>2.25</v>
      </c>
      <c r="I424" s="13">
        <f t="shared" si="26"/>
        <v>30</v>
      </c>
      <c r="J424" s="15">
        <f t="shared" si="27"/>
        <v>2.25</v>
      </c>
    </row>
    <row r="425" spans="1:10" ht="15" customHeight="1" x14ac:dyDescent="0.25">
      <c r="A425" s="13" t="s">
        <v>53</v>
      </c>
      <c r="B425" s="13" t="s">
        <v>54</v>
      </c>
      <c r="C425" s="13" t="s">
        <v>598</v>
      </c>
      <c r="D425" s="13">
        <v>3</v>
      </c>
      <c r="E425" s="13" t="s">
        <v>174</v>
      </c>
      <c r="F425" s="13">
        <f t="shared" si="24"/>
        <v>3</v>
      </c>
      <c r="G425" s="14">
        <f>IFERROR(INDEX('4. Master Ingredient Inventory'!$I$2:$I$109,MATCH($C425,'4. Master Ingredient Inventory'!$B$2:$B$109,0)),0)</f>
        <v>0.03</v>
      </c>
      <c r="H425" s="15">
        <f t="shared" si="25"/>
        <v>0.09</v>
      </c>
      <c r="I425" s="13">
        <f t="shared" si="26"/>
        <v>3</v>
      </c>
      <c r="J425" s="15">
        <f t="shared" si="27"/>
        <v>0.09</v>
      </c>
    </row>
    <row r="426" spans="1:10" ht="15" customHeight="1" x14ac:dyDescent="0.25">
      <c r="A426" s="13" t="s">
        <v>53</v>
      </c>
      <c r="B426" s="13" t="s">
        <v>54</v>
      </c>
      <c r="C426" s="13" t="s">
        <v>210</v>
      </c>
      <c r="D426" s="13">
        <v>1</v>
      </c>
      <c r="E426" s="13" t="s">
        <v>174</v>
      </c>
      <c r="F426" s="13">
        <f t="shared" si="24"/>
        <v>1</v>
      </c>
      <c r="G426" s="14">
        <f>IFERROR(INDEX('4. Master Ingredient Inventory'!$I$2:$I$109,MATCH($C426,'4. Master Ingredient Inventory'!$B$2:$B$109,0)),0)</f>
        <v>0.65</v>
      </c>
      <c r="H426" s="15">
        <f t="shared" si="25"/>
        <v>0.65</v>
      </c>
      <c r="I426" s="13">
        <f t="shared" si="26"/>
        <v>1</v>
      </c>
      <c r="J426" s="15">
        <f t="shared" si="27"/>
        <v>0.65</v>
      </c>
    </row>
    <row r="427" spans="1:10" ht="15" customHeight="1" x14ac:dyDescent="0.25">
      <c r="A427" s="13" t="s">
        <v>53</v>
      </c>
      <c r="B427" s="13" t="s">
        <v>54</v>
      </c>
      <c r="C427" s="13" t="s">
        <v>396</v>
      </c>
      <c r="D427" s="13">
        <v>2</v>
      </c>
      <c r="E427" s="13" t="s">
        <v>174</v>
      </c>
      <c r="F427" s="13">
        <f t="shared" si="24"/>
        <v>2</v>
      </c>
      <c r="G427" s="14">
        <f>IFERROR(INDEX('4. Master Ingredient Inventory'!$I$2:$I$109,MATCH($C427,'4. Master Ingredient Inventory'!$B$2:$B$109,0)),0)</f>
        <v>0.28000000000000003</v>
      </c>
      <c r="H427" s="15">
        <f t="shared" si="25"/>
        <v>0.56000000000000005</v>
      </c>
      <c r="I427" s="13">
        <f t="shared" si="26"/>
        <v>2</v>
      </c>
      <c r="J427" s="15">
        <f t="shared" si="27"/>
        <v>0.56000000000000005</v>
      </c>
    </row>
    <row r="428" spans="1:10" ht="15" customHeight="1" x14ac:dyDescent="0.25">
      <c r="A428" s="13" t="s">
        <v>53</v>
      </c>
      <c r="B428" s="13" t="s">
        <v>54</v>
      </c>
      <c r="C428" s="13" t="s">
        <v>532</v>
      </c>
      <c r="D428" s="13">
        <v>2</v>
      </c>
      <c r="E428" s="13" t="s">
        <v>174</v>
      </c>
      <c r="F428" s="13">
        <f t="shared" si="24"/>
        <v>2</v>
      </c>
      <c r="G428" s="14">
        <f>IFERROR(INDEX('4. Master Ingredient Inventory'!$I$2:$I$109,MATCH($C428,'4. Master Ingredient Inventory'!$B$2:$B$109,0)),0)</f>
        <v>0.6</v>
      </c>
      <c r="H428" s="15">
        <f t="shared" si="25"/>
        <v>1.2</v>
      </c>
      <c r="I428" s="13">
        <f t="shared" si="26"/>
        <v>2</v>
      </c>
      <c r="J428" s="15">
        <f t="shared" si="27"/>
        <v>1.2</v>
      </c>
    </row>
    <row r="429" spans="1:10" ht="15" customHeight="1" x14ac:dyDescent="0.25">
      <c r="A429" s="13" t="s">
        <v>53</v>
      </c>
      <c r="B429" s="13" t="s">
        <v>54</v>
      </c>
      <c r="C429" s="13" t="s">
        <v>323</v>
      </c>
      <c r="D429" s="13">
        <f>12*$T$1</f>
        <v>60</v>
      </c>
      <c r="E429" s="13" t="s">
        <v>163</v>
      </c>
      <c r="F429" s="13">
        <f t="shared" si="24"/>
        <v>60</v>
      </c>
      <c r="G429" s="14">
        <f>IFERROR(INDEX('4. Master Ingredient Inventory'!$I$2:$I$109,MATCH($C429,'4. Master Ingredient Inventory'!$B$2:$B$109,0)),0)</f>
        <v>0.09</v>
      </c>
      <c r="H429" s="15">
        <f t="shared" si="25"/>
        <v>5.3999999999999995</v>
      </c>
      <c r="I429" s="13">
        <f t="shared" si="26"/>
        <v>60</v>
      </c>
      <c r="J429" s="15">
        <f t="shared" si="27"/>
        <v>5.3999999999999995</v>
      </c>
    </row>
    <row r="430" spans="1:10" ht="15" customHeight="1" x14ac:dyDescent="0.25">
      <c r="A430" s="13" t="s">
        <v>53</v>
      </c>
      <c r="B430" s="13" t="s">
        <v>54</v>
      </c>
      <c r="C430" s="13" t="s">
        <v>481</v>
      </c>
      <c r="D430" s="13">
        <v>20</v>
      </c>
      <c r="E430" s="13" t="s">
        <v>174</v>
      </c>
      <c r="F430" s="13">
        <f t="shared" si="24"/>
        <v>20</v>
      </c>
      <c r="G430" s="14">
        <f>IFERROR(INDEX('4. Master Ingredient Inventory'!$I$2:$I$109,MATCH($C430,'4. Master Ingredient Inventory'!$B$2:$B$109,0)),0)</f>
        <v>0.18</v>
      </c>
      <c r="H430" s="15">
        <f t="shared" si="25"/>
        <v>3.5999999999999996</v>
      </c>
      <c r="I430" s="13">
        <f t="shared" si="26"/>
        <v>20</v>
      </c>
      <c r="J430" s="15">
        <f t="shared" si="27"/>
        <v>3.5999999999999996</v>
      </c>
    </row>
    <row r="431" spans="1:10" ht="15" customHeight="1" x14ac:dyDescent="0.25">
      <c r="A431" s="13" t="s">
        <v>53</v>
      </c>
      <c r="B431" s="13" t="s">
        <v>54</v>
      </c>
      <c r="C431" s="13" t="s">
        <v>373</v>
      </c>
      <c r="D431" s="13">
        <v>10</v>
      </c>
      <c r="E431" s="13" t="s">
        <v>163</v>
      </c>
      <c r="F431" s="13">
        <f t="shared" si="24"/>
        <v>10</v>
      </c>
      <c r="G431" s="14">
        <f>IFERROR(INDEX('4. Master Ingredient Inventory'!$I$2:$I$109,MATCH($C431,'4. Master Ingredient Inventory'!$B$2:$B$109,0)),0)</f>
        <v>9.5000000000000001E-2</v>
      </c>
      <c r="H431" s="15">
        <f t="shared" si="25"/>
        <v>0.95</v>
      </c>
      <c r="I431" s="13">
        <f t="shared" si="26"/>
        <v>10</v>
      </c>
      <c r="J431" s="15">
        <f t="shared" si="27"/>
        <v>0.95</v>
      </c>
    </row>
    <row r="432" spans="1:10" ht="15" customHeight="1" x14ac:dyDescent="0.25">
      <c r="A432" s="13" t="s">
        <v>53</v>
      </c>
      <c r="B432" s="13" t="s">
        <v>54</v>
      </c>
      <c r="C432" s="13" t="s">
        <v>396</v>
      </c>
      <c r="D432" s="13">
        <v>0.5</v>
      </c>
      <c r="E432" s="13" t="s">
        <v>174</v>
      </c>
      <c r="F432" s="13">
        <f t="shared" si="24"/>
        <v>0.5</v>
      </c>
      <c r="G432" s="14">
        <f>IFERROR(INDEX('4. Master Ingredient Inventory'!$I$2:$I$109,MATCH($C432,'4. Master Ingredient Inventory'!$B$2:$B$109,0)),0)</f>
        <v>0.28000000000000003</v>
      </c>
      <c r="H432" s="15">
        <f t="shared" si="25"/>
        <v>0.14000000000000001</v>
      </c>
      <c r="I432" s="13">
        <f t="shared" si="26"/>
        <v>0.5</v>
      </c>
      <c r="J432" s="15">
        <f t="shared" si="27"/>
        <v>0.14000000000000001</v>
      </c>
    </row>
    <row r="433" spans="1:10" ht="15" customHeight="1" x14ac:dyDescent="0.25">
      <c r="A433" s="13" t="s">
        <v>53</v>
      </c>
      <c r="B433" s="13" t="s">
        <v>54</v>
      </c>
      <c r="C433" s="13" t="s">
        <v>515</v>
      </c>
      <c r="D433" s="13">
        <v>0.5</v>
      </c>
      <c r="E433" s="13" t="s">
        <v>174</v>
      </c>
      <c r="F433" s="13">
        <f t="shared" si="24"/>
        <v>0.5</v>
      </c>
      <c r="G433" s="14">
        <f>IFERROR(INDEX('4. Master Ingredient Inventory'!$I$2:$I$109,MATCH($C433,'4. Master Ingredient Inventory'!$B$2:$B$109,0)),0)</f>
        <v>0.28000000000000003</v>
      </c>
      <c r="H433" s="15">
        <f t="shared" si="25"/>
        <v>0.14000000000000001</v>
      </c>
      <c r="I433" s="13">
        <f t="shared" si="26"/>
        <v>0.5</v>
      </c>
      <c r="J433" s="15">
        <f t="shared" si="27"/>
        <v>0.14000000000000001</v>
      </c>
    </row>
    <row r="434" spans="1:10" ht="15" customHeight="1" x14ac:dyDescent="0.25">
      <c r="A434" s="13" t="s">
        <v>53</v>
      </c>
      <c r="B434" s="13" t="s">
        <v>54</v>
      </c>
      <c r="C434" s="13" t="s">
        <v>352</v>
      </c>
      <c r="D434" s="13">
        <v>0.5</v>
      </c>
      <c r="E434" s="13" t="s">
        <v>174</v>
      </c>
      <c r="F434" s="13">
        <f t="shared" si="24"/>
        <v>0.5</v>
      </c>
      <c r="G434" s="14">
        <f>IFERROR(INDEX('4. Master Ingredient Inventory'!$I$2:$I$109,MATCH($C434,'4. Master Ingredient Inventory'!$B$2:$B$109,0)),0)</f>
        <v>0.85</v>
      </c>
      <c r="H434" s="15">
        <f t="shared" si="25"/>
        <v>0.42499999999999999</v>
      </c>
      <c r="I434" s="13">
        <f t="shared" si="26"/>
        <v>0.5</v>
      </c>
      <c r="J434" s="15">
        <f t="shared" si="27"/>
        <v>0.42499999999999999</v>
      </c>
    </row>
    <row r="435" spans="1:10" ht="15" customHeight="1" x14ac:dyDescent="0.25">
      <c r="A435" s="13" t="s">
        <v>53</v>
      </c>
      <c r="B435" s="13" t="s">
        <v>54</v>
      </c>
      <c r="C435" s="13" t="s">
        <v>598</v>
      </c>
      <c r="D435" s="13">
        <v>0.3</v>
      </c>
      <c r="E435" s="13" t="s">
        <v>174</v>
      </c>
      <c r="F435" s="13">
        <f t="shared" si="24"/>
        <v>0.3</v>
      </c>
      <c r="G435" s="14">
        <f>IFERROR(INDEX('4. Master Ingredient Inventory'!$I$2:$I$109,MATCH($C435,'4. Master Ingredient Inventory'!$B$2:$B$109,0)),0)</f>
        <v>0.03</v>
      </c>
      <c r="H435" s="15">
        <f t="shared" si="25"/>
        <v>8.9999999999999993E-3</v>
      </c>
      <c r="I435" s="13">
        <f t="shared" si="26"/>
        <v>0.3</v>
      </c>
      <c r="J435" s="15">
        <f t="shared" si="27"/>
        <v>8.9999999999999993E-3</v>
      </c>
    </row>
    <row r="436" spans="1:10" ht="15" customHeight="1" x14ac:dyDescent="0.25">
      <c r="A436" s="13" t="s">
        <v>53</v>
      </c>
      <c r="B436" s="13" t="s">
        <v>54</v>
      </c>
      <c r="C436" s="13" t="s">
        <v>210</v>
      </c>
      <c r="D436" s="13">
        <v>0.2</v>
      </c>
      <c r="E436" s="13" t="s">
        <v>174</v>
      </c>
      <c r="F436" s="13">
        <f t="shared" si="24"/>
        <v>0.2</v>
      </c>
      <c r="G436" s="14">
        <f>IFERROR(INDEX('4. Master Ingredient Inventory'!$I$2:$I$109,MATCH($C436,'4. Master Ingredient Inventory'!$B$2:$B$109,0)),0)</f>
        <v>0.65</v>
      </c>
      <c r="H436" s="15">
        <f t="shared" si="25"/>
        <v>0.13</v>
      </c>
      <c r="I436" s="13">
        <f t="shared" si="26"/>
        <v>0.2</v>
      </c>
      <c r="J436" s="15">
        <f t="shared" si="27"/>
        <v>0.13</v>
      </c>
    </row>
    <row r="437" spans="1:10" ht="15" customHeight="1" x14ac:dyDescent="0.25">
      <c r="A437" s="13" t="s">
        <v>55</v>
      </c>
      <c r="B437" s="13" t="s">
        <v>54</v>
      </c>
      <c r="C437" s="13" t="s">
        <v>293</v>
      </c>
      <c r="D437" s="13">
        <v>6</v>
      </c>
      <c r="E437" s="13" t="s">
        <v>702</v>
      </c>
      <c r="F437" s="13">
        <f t="shared" si="24"/>
        <v>6</v>
      </c>
      <c r="G437" s="14">
        <f>IFERROR(INDEX('4. Master Ingredient Inventory'!$I$2:$I$109,MATCH($C437,'4. Master Ingredient Inventory'!$B$2:$B$109,0)),0)</f>
        <v>13.77</v>
      </c>
      <c r="H437" s="15">
        <f t="shared" si="25"/>
        <v>82.62</v>
      </c>
      <c r="I437" s="13">
        <f t="shared" si="26"/>
        <v>6</v>
      </c>
      <c r="J437" s="15">
        <f t="shared" si="27"/>
        <v>82.62</v>
      </c>
    </row>
    <row r="438" spans="1:10" ht="15" customHeight="1" x14ac:dyDescent="0.25">
      <c r="A438" s="13" t="s">
        <v>55</v>
      </c>
      <c r="B438" s="13" t="s">
        <v>54</v>
      </c>
      <c r="C438" s="13" t="s">
        <v>170</v>
      </c>
      <c r="D438" s="13">
        <v>30</v>
      </c>
      <c r="E438" s="13" t="s">
        <v>174</v>
      </c>
      <c r="F438" s="13">
        <f t="shared" si="24"/>
        <v>30</v>
      </c>
      <c r="G438" s="14">
        <f>IFERROR(INDEX('4. Master Ingredient Inventory'!$I$2:$I$109,MATCH($C438,'4. Master Ingredient Inventory'!$B$2:$B$109,0)),0)</f>
        <v>5.8000000000000003E-2</v>
      </c>
      <c r="H438" s="15">
        <f t="shared" si="25"/>
        <v>1.74</v>
      </c>
      <c r="I438" s="13">
        <f t="shared" si="26"/>
        <v>30</v>
      </c>
      <c r="J438" s="15">
        <f t="shared" si="27"/>
        <v>1.74</v>
      </c>
    </row>
    <row r="439" spans="1:10" ht="15" customHeight="1" x14ac:dyDescent="0.25">
      <c r="A439" s="13" t="s">
        <v>55</v>
      </c>
      <c r="B439" s="13" t="s">
        <v>54</v>
      </c>
      <c r="C439" s="13" t="s">
        <v>333</v>
      </c>
      <c r="D439" s="13">
        <v>15</v>
      </c>
      <c r="E439" s="13" t="s">
        <v>174</v>
      </c>
      <c r="F439" s="13">
        <f t="shared" si="24"/>
        <v>15</v>
      </c>
      <c r="G439" s="14">
        <f>IFERROR(INDEX('4. Master Ingredient Inventory'!$I$2:$I$109,MATCH($C439,'4. Master Ingredient Inventory'!$B$2:$B$109,0)),0)</f>
        <v>7.4999999999999997E-2</v>
      </c>
      <c r="H439" s="15">
        <f t="shared" si="25"/>
        <v>1.125</v>
      </c>
      <c r="I439" s="13">
        <f t="shared" si="26"/>
        <v>15</v>
      </c>
      <c r="J439" s="15">
        <f t="shared" si="27"/>
        <v>1.125</v>
      </c>
    </row>
    <row r="440" spans="1:10" ht="15" customHeight="1" x14ac:dyDescent="0.25">
      <c r="A440" s="13" t="s">
        <v>55</v>
      </c>
      <c r="B440" s="13" t="s">
        <v>54</v>
      </c>
      <c r="C440" s="13" t="s">
        <v>598</v>
      </c>
      <c r="D440" s="13">
        <v>2</v>
      </c>
      <c r="E440" s="13" t="s">
        <v>174</v>
      </c>
      <c r="F440" s="13">
        <f t="shared" si="24"/>
        <v>2</v>
      </c>
      <c r="G440" s="14">
        <f>IFERROR(INDEX('4. Master Ingredient Inventory'!$I$2:$I$109,MATCH($C440,'4. Master Ingredient Inventory'!$B$2:$B$109,0)),0)</f>
        <v>0.03</v>
      </c>
      <c r="H440" s="15">
        <f t="shared" si="25"/>
        <v>0.06</v>
      </c>
      <c r="I440" s="13">
        <f t="shared" si="26"/>
        <v>2</v>
      </c>
      <c r="J440" s="15">
        <f t="shared" si="27"/>
        <v>0.06</v>
      </c>
    </row>
    <row r="441" spans="1:10" ht="15" customHeight="1" x14ac:dyDescent="0.25">
      <c r="A441" s="13" t="s">
        <v>55</v>
      </c>
      <c r="B441" s="13" t="s">
        <v>54</v>
      </c>
      <c r="C441" s="13" t="s">
        <v>210</v>
      </c>
      <c r="D441" s="13">
        <v>0.5</v>
      </c>
      <c r="E441" s="13" t="s">
        <v>174</v>
      </c>
      <c r="F441" s="13">
        <f t="shared" si="24"/>
        <v>0.5</v>
      </c>
      <c r="G441" s="14">
        <f>IFERROR(INDEX('4. Master Ingredient Inventory'!$I$2:$I$109,MATCH($C441,'4. Master Ingredient Inventory'!$B$2:$B$109,0)),0)</f>
        <v>0.65</v>
      </c>
      <c r="H441" s="15">
        <f t="shared" si="25"/>
        <v>0.32500000000000001</v>
      </c>
      <c r="I441" s="13">
        <f t="shared" si="26"/>
        <v>0.5</v>
      </c>
      <c r="J441" s="15">
        <f t="shared" si="27"/>
        <v>0.32500000000000001</v>
      </c>
    </row>
    <row r="442" spans="1:10" ht="15" customHeight="1" x14ac:dyDescent="0.25">
      <c r="A442" s="13" t="s">
        <v>55</v>
      </c>
      <c r="B442" s="13" t="s">
        <v>54</v>
      </c>
      <c r="C442" s="13" t="s">
        <v>396</v>
      </c>
      <c r="D442" s="13">
        <v>1</v>
      </c>
      <c r="E442" s="13" t="s">
        <v>174</v>
      </c>
      <c r="F442" s="13">
        <f t="shared" si="24"/>
        <v>1</v>
      </c>
      <c r="G442" s="14">
        <f>IFERROR(INDEX('4. Master Ingredient Inventory'!$I$2:$I$109,MATCH($C442,'4. Master Ingredient Inventory'!$B$2:$B$109,0)),0)</f>
        <v>0.28000000000000003</v>
      </c>
      <c r="H442" s="15">
        <f t="shared" si="25"/>
        <v>0.28000000000000003</v>
      </c>
      <c r="I442" s="13">
        <f t="shared" si="26"/>
        <v>1</v>
      </c>
      <c r="J442" s="15">
        <f t="shared" si="27"/>
        <v>0.28000000000000003</v>
      </c>
    </row>
    <row r="443" spans="1:10" ht="15" customHeight="1" x14ac:dyDescent="0.25">
      <c r="A443" s="13" t="s">
        <v>55</v>
      </c>
      <c r="B443" s="13" t="s">
        <v>54</v>
      </c>
      <c r="C443" s="13" t="s">
        <v>532</v>
      </c>
      <c r="D443" s="13">
        <v>1</v>
      </c>
      <c r="E443" s="13" t="s">
        <v>174</v>
      </c>
      <c r="F443" s="13">
        <f t="shared" si="24"/>
        <v>1</v>
      </c>
      <c r="G443" s="14">
        <f>IFERROR(INDEX('4. Master Ingredient Inventory'!$I$2:$I$109,MATCH($C443,'4. Master Ingredient Inventory'!$B$2:$B$109,0)),0)</f>
        <v>0.6</v>
      </c>
      <c r="H443" s="15">
        <f t="shared" si="25"/>
        <v>0.6</v>
      </c>
      <c r="I443" s="13">
        <f t="shared" si="26"/>
        <v>1</v>
      </c>
      <c r="J443" s="15">
        <f t="shared" si="27"/>
        <v>0.6</v>
      </c>
    </row>
    <row r="444" spans="1:10" ht="15" customHeight="1" x14ac:dyDescent="0.25">
      <c r="A444" s="13" t="s">
        <v>55</v>
      </c>
      <c r="B444" s="13" t="s">
        <v>54</v>
      </c>
      <c r="C444" s="13" t="s">
        <v>323</v>
      </c>
      <c r="D444" s="13">
        <f>6*$T$1</f>
        <v>30</v>
      </c>
      <c r="E444" s="13" t="s">
        <v>163</v>
      </c>
      <c r="F444" s="13">
        <f t="shared" si="24"/>
        <v>30</v>
      </c>
      <c r="G444" s="14">
        <f>IFERROR(INDEX('4. Master Ingredient Inventory'!$I$2:$I$109,MATCH($C444,'4. Master Ingredient Inventory'!$B$2:$B$109,0)),0)</f>
        <v>0.09</v>
      </c>
      <c r="H444" s="15">
        <f t="shared" si="25"/>
        <v>2.6999999999999997</v>
      </c>
      <c r="I444" s="13">
        <f t="shared" si="26"/>
        <v>30</v>
      </c>
      <c r="J444" s="15">
        <f t="shared" si="27"/>
        <v>2.6999999999999997</v>
      </c>
    </row>
    <row r="445" spans="1:10" ht="15" customHeight="1" x14ac:dyDescent="0.25">
      <c r="A445" s="13" t="s">
        <v>55</v>
      </c>
      <c r="B445" s="13" t="s">
        <v>54</v>
      </c>
      <c r="C445" s="13" t="s">
        <v>675</v>
      </c>
      <c r="D445" s="13">
        <v>30</v>
      </c>
      <c r="E445" s="13" t="s">
        <v>174</v>
      </c>
      <c r="F445" s="13">
        <f t="shared" si="24"/>
        <v>30</v>
      </c>
      <c r="G445" s="14">
        <f>IFERROR(INDEX('4. Master Ingredient Inventory'!$I$2:$I$109,MATCH($C445,'4. Master Ingredient Inventory'!$B$2:$B$109,0)),0)</f>
        <v>0.58599999999999997</v>
      </c>
      <c r="H445" s="15">
        <f t="shared" si="25"/>
        <v>17.579999999999998</v>
      </c>
      <c r="I445" s="13">
        <f t="shared" si="26"/>
        <v>30</v>
      </c>
      <c r="J445" s="15">
        <f t="shared" si="27"/>
        <v>17.579999999999998</v>
      </c>
    </row>
    <row r="446" spans="1:10" ht="15" customHeight="1" x14ac:dyDescent="0.25">
      <c r="A446" s="13" t="s">
        <v>55</v>
      </c>
      <c r="B446" s="13" t="s">
        <v>54</v>
      </c>
      <c r="C446" s="13" t="s">
        <v>379</v>
      </c>
      <c r="D446" s="13">
        <v>120</v>
      </c>
      <c r="E446" s="13" t="s">
        <v>174</v>
      </c>
      <c r="F446" s="13">
        <f t="shared" si="24"/>
        <v>120</v>
      </c>
      <c r="G446" s="14">
        <f>IFERROR(INDEX('4. Master Ingredient Inventory'!$I$2:$I$109,MATCH($C446,'4. Master Ingredient Inventory'!$B$2:$B$109,0)),0)</f>
        <v>0.18</v>
      </c>
      <c r="H446" s="15">
        <f t="shared" si="25"/>
        <v>21.599999999999998</v>
      </c>
      <c r="I446" s="13">
        <f t="shared" si="26"/>
        <v>120</v>
      </c>
      <c r="J446" s="15">
        <f t="shared" si="27"/>
        <v>21.599999999999998</v>
      </c>
    </row>
    <row r="447" spans="1:10" ht="15" customHeight="1" x14ac:dyDescent="0.25">
      <c r="A447" s="13" t="s">
        <v>55</v>
      </c>
      <c r="B447" s="13" t="s">
        <v>54</v>
      </c>
      <c r="C447" s="13" t="s">
        <v>323</v>
      </c>
      <c r="D447" s="13">
        <v>15</v>
      </c>
      <c r="E447" s="13" t="s">
        <v>163</v>
      </c>
      <c r="F447" s="13">
        <f t="shared" si="24"/>
        <v>15</v>
      </c>
      <c r="G447" s="14">
        <f>IFERROR(INDEX('4. Master Ingredient Inventory'!$I$2:$I$109,MATCH($C447,'4. Master Ingredient Inventory'!$B$2:$B$109,0)),0)</f>
        <v>0.09</v>
      </c>
      <c r="H447" s="15">
        <f t="shared" si="25"/>
        <v>1.3499999999999999</v>
      </c>
      <c r="I447" s="13">
        <f t="shared" si="26"/>
        <v>15</v>
      </c>
      <c r="J447" s="15">
        <f t="shared" si="27"/>
        <v>1.3499999999999999</v>
      </c>
    </row>
    <row r="448" spans="1:10" ht="15" customHeight="1" x14ac:dyDescent="0.25">
      <c r="A448" s="13" t="s">
        <v>55</v>
      </c>
      <c r="B448" s="13" t="s">
        <v>54</v>
      </c>
      <c r="C448" s="13" t="s">
        <v>574</v>
      </c>
      <c r="D448" s="13">
        <v>30</v>
      </c>
      <c r="E448" s="13" t="s">
        <v>163</v>
      </c>
      <c r="F448" s="13">
        <f t="shared" si="24"/>
        <v>30</v>
      </c>
      <c r="G448" s="14">
        <f>IFERROR(INDEX('4. Master Ingredient Inventory'!$I$2:$I$109,MATCH($C448,'4. Master Ingredient Inventory'!$B$2:$B$109,0)),0)</f>
        <v>0.16856249999999998</v>
      </c>
      <c r="H448" s="15">
        <f t="shared" si="25"/>
        <v>5.0568749999999989</v>
      </c>
      <c r="I448" s="13">
        <f t="shared" si="26"/>
        <v>30</v>
      </c>
      <c r="J448" s="15">
        <f t="shared" si="27"/>
        <v>5.0568749999999989</v>
      </c>
    </row>
    <row r="449" spans="1:10" ht="15" customHeight="1" x14ac:dyDescent="0.25">
      <c r="A449" s="13" t="s">
        <v>56</v>
      </c>
      <c r="B449" s="13" t="s">
        <v>54</v>
      </c>
      <c r="C449" s="13" t="s">
        <v>293</v>
      </c>
      <c r="D449" s="13">
        <v>6</v>
      </c>
      <c r="E449" s="13" t="s">
        <v>702</v>
      </c>
      <c r="F449" s="13">
        <f t="shared" si="24"/>
        <v>6</v>
      </c>
      <c r="G449" s="14">
        <f>IFERROR(INDEX('4. Master Ingredient Inventory'!$I$2:$I$109,MATCH($C449,'4. Master Ingredient Inventory'!$B$2:$B$109,0)),0)</f>
        <v>13.77</v>
      </c>
      <c r="H449" s="15">
        <f t="shared" si="25"/>
        <v>82.62</v>
      </c>
      <c r="I449" s="13">
        <f t="shared" si="26"/>
        <v>6</v>
      </c>
      <c r="J449" s="15">
        <f t="shared" si="27"/>
        <v>82.62</v>
      </c>
    </row>
    <row r="450" spans="1:10" ht="15" customHeight="1" x14ac:dyDescent="0.25">
      <c r="A450" s="13" t="s">
        <v>56</v>
      </c>
      <c r="B450" s="13" t="s">
        <v>54</v>
      </c>
      <c r="C450" s="13" t="s">
        <v>170</v>
      </c>
      <c r="D450" s="13">
        <v>30</v>
      </c>
      <c r="E450" s="13" t="s">
        <v>174</v>
      </c>
      <c r="F450" s="13">
        <f t="shared" si="24"/>
        <v>30</v>
      </c>
      <c r="G450" s="14">
        <f>IFERROR(INDEX('4. Master Ingredient Inventory'!$I$2:$I$109,MATCH($C450,'4. Master Ingredient Inventory'!$B$2:$B$109,0)),0)</f>
        <v>5.8000000000000003E-2</v>
      </c>
      <c r="H450" s="15">
        <f t="shared" si="25"/>
        <v>1.74</v>
      </c>
      <c r="I450" s="13">
        <f t="shared" si="26"/>
        <v>30</v>
      </c>
      <c r="J450" s="15">
        <f t="shared" si="27"/>
        <v>1.74</v>
      </c>
    </row>
    <row r="451" spans="1:10" ht="15" customHeight="1" x14ac:dyDescent="0.25">
      <c r="A451" s="13" t="s">
        <v>56</v>
      </c>
      <c r="B451" s="13" t="s">
        <v>54</v>
      </c>
      <c r="C451" s="13" t="s">
        <v>333</v>
      </c>
      <c r="D451" s="13">
        <v>15</v>
      </c>
      <c r="E451" s="13" t="s">
        <v>174</v>
      </c>
      <c r="F451" s="13">
        <f t="shared" si="24"/>
        <v>15</v>
      </c>
      <c r="G451" s="14">
        <f>IFERROR(INDEX('4. Master Ingredient Inventory'!$I$2:$I$109,MATCH($C451,'4. Master Ingredient Inventory'!$B$2:$B$109,0)),0)</f>
        <v>7.4999999999999997E-2</v>
      </c>
      <c r="H451" s="15">
        <f t="shared" si="25"/>
        <v>1.125</v>
      </c>
      <c r="I451" s="13">
        <f t="shared" si="26"/>
        <v>15</v>
      </c>
      <c r="J451" s="15">
        <f t="shared" si="27"/>
        <v>1.125</v>
      </c>
    </row>
    <row r="452" spans="1:10" ht="15" customHeight="1" x14ac:dyDescent="0.25">
      <c r="A452" s="13" t="s">
        <v>56</v>
      </c>
      <c r="B452" s="13" t="s">
        <v>54</v>
      </c>
      <c r="C452" s="13" t="s">
        <v>598</v>
      </c>
      <c r="D452" s="13">
        <v>2</v>
      </c>
      <c r="E452" s="13" t="s">
        <v>174</v>
      </c>
      <c r="F452" s="13">
        <f t="shared" ref="F452:F493" si="28">$D452*1</f>
        <v>2</v>
      </c>
      <c r="G452" s="14">
        <f>IFERROR(INDEX('4. Master Ingredient Inventory'!$I$2:$I$109,MATCH($C452,'4. Master Ingredient Inventory'!$B$2:$B$109,0)),0)</f>
        <v>0.03</v>
      </c>
      <c r="H452" s="15">
        <f t="shared" ref="H452:H493" si="29">$F452*$G452</f>
        <v>0.06</v>
      </c>
      <c r="I452" s="13">
        <f t="shared" ref="I452:I493" si="30">IF(AND($C452="Cooking Oil",$D452&gt;=100),$D452*$L$1,$F452)</f>
        <v>2</v>
      </c>
      <c r="J452" s="15">
        <f t="shared" ref="J452:J493" si="31">$I452*$G452</f>
        <v>0.06</v>
      </c>
    </row>
    <row r="453" spans="1:10" ht="15" customHeight="1" x14ac:dyDescent="0.25">
      <c r="A453" s="13" t="s">
        <v>56</v>
      </c>
      <c r="B453" s="13" t="s">
        <v>54</v>
      </c>
      <c r="C453" s="13" t="s">
        <v>210</v>
      </c>
      <c r="D453" s="13">
        <v>0.5</v>
      </c>
      <c r="E453" s="13" t="s">
        <v>174</v>
      </c>
      <c r="F453" s="13">
        <f t="shared" si="28"/>
        <v>0.5</v>
      </c>
      <c r="G453" s="14">
        <f>IFERROR(INDEX('4. Master Ingredient Inventory'!$I$2:$I$109,MATCH($C453,'4. Master Ingredient Inventory'!$B$2:$B$109,0)),0)</f>
        <v>0.65</v>
      </c>
      <c r="H453" s="15">
        <f t="shared" si="29"/>
        <v>0.32500000000000001</v>
      </c>
      <c r="I453" s="13">
        <f t="shared" si="30"/>
        <v>0.5</v>
      </c>
      <c r="J453" s="15">
        <f t="shared" si="31"/>
        <v>0.32500000000000001</v>
      </c>
    </row>
    <row r="454" spans="1:10" ht="15" customHeight="1" x14ac:dyDescent="0.25">
      <c r="A454" s="13" t="s">
        <v>56</v>
      </c>
      <c r="B454" s="13" t="s">
        <v>54</v>
      </c>
      <c r="C454" s="13" t="s">
        <v>396</v>
      </c>
      <c r="D454" s="13">
        <v>1</v>
      </c>
      <c r="E454" s="13" t="s">
        <v>174</v>
      </c>
      <c r="F454" s="13">
        <f t="shared" si="28"/>
        <v>1</v>
      </c>
      <c r="G454" s="14">
        <f>IFERROR(INDEX('4. Master Ingredient Inventory'!$I$2:$I$109,MATCH($C454,'4. Master Ingredient Inventory'!$B$2:$B$109,0)),0)</f>
        <v>0.28000000000000003</v>
      </c>
      <c r="H454" s="15">
        <f t="shared" si="29"/>
        <v>0.28000000000000003</v>
      </c>
      <c r="I454" s="13">
        <f t="shared" si="30"/>
        <v>1</v>
      </c>
      <c r="J454" s="15">
        <f t="shared" si="31"/>
        <v>0.28000000000000003</v>
      </c>
    </row>
    <row r="455" spans="1:10" ht="15" customHeight="1" x14ac:dyDescent="0.25">
      <c r="A455" s="13" t="s">
        <v>56</v>
      </c>
      <c r="B455" s="13" t="s">
        <v>54</v>
      </c>
      <c r="C455" s="13" t="s">
        <v>532</v>
      </c>
      <c r="D455" s="13">
        <v>1</v>
      </c>
      <c r="E455" s="13" t="s">
        <v>174</v>
      </c>
      <c r="F455" s="13">
        <f t="shared" si="28"/>
        <v>1</v>
      </c>
      <c r="G455" s="14">
        <f>IFERROR(INDEX('4. Master Ingredient Inventory'!$I$2:$I$109,MATCH($C455,'4. Master Ingredient Inventory'!$B$2:$B$109,0)),0)</f>
        <v>0.6</v>
      </c>
      <c r="H455" s="15">
        <f t="shared" si="29"/>
        <v>0.6</v>
      </c>
      <c r="I455" s="13">
        <f t="shared" si="30"/>
        <v>1</v>
      </c>
      <c r="J455" s="15">
        <f t="shared" si="31"/>
        <v>0.6</v>
      </c>
    </row>
    <row r="456" spans="1:10" ht="15" customHeight="1" x14ac:dyDescent="0.25">
      <c r="A456" s="13" t="s">
        <v>56</v>
      </c>
      <c r="B456" s="13" t="s">
        <v>54</v>
      </c>
      <c r="C456" s="13" t="s">
        <v>323</v>
      </c>
      <c r="D456" s="13">
        <f>6*$T$1</f>
        <v>30</v>
      </c>
      <c r="E456" s="13" t="s">
        <v>163</v>
      </c>
      <c r="F456" s="13">
        <f t="shared" si="28"/>
        <v>30</v>
      </c>
      <c r="G456" s="14">
        <f>IFERROR(INDEX('4. Master Ingredient Inventory'!$I$2:$I$109,MATCH($C456,'4. Master Ingredient Inventory'!$B$2:$B$109,0)),0)</f>
        <v>0.09</v>
      </c>
      <c r="H456" s="15">
        <f t="shared" si="29"/>
        <v>2.6999999999999997</v>
      </c>
      <c r="I456" s="13">
        <f t="shared" si="30"/>
        <v>30</v>
      </c>
      <c r="J456" s="15">
        <f t="shared" si="31"/>
        <v>2.6999999999999997</v>
      </c>
    </row>
    <row r="457" spans="1:10" ht="15" customHeight="1" x14ac:dyDescent="0.25">
      <c r="A457" s="13" t="s">
        <v>56</v>
      </c>
      <c r="B457" s="13" t="s">
        <v>54</v>
      </c>
      <c r="C457" s="13" t="s">
        <v>675</v>
      </c>
      <c r="D457" s="13">
        <v>30</v>
      </c>
      <c r="E457" s="13" t="s">
        <v>174</v>
      </c>
      <c r="F457" s="13">
        <f t="shared" si="28"/>
        <v>30</v>
      </c>
      <c r="G457" s="14">
        <f>IFERROR(INDEX('4. Master Ingredient Inventory'!$I$2:$I$109,MATCH($C457,'4. Master Ingredient Inventory'!$B$2:$B$109,0)),0)</f>
        <v>0.58599999999999997</v>
      </c>
      <c r="H457" s="15">
        <f t="shared" si="29"/>
        <v>17.579999999999998</v>
      </c>
      <c r="I457" s="13">
        <f t="shared" si="30"/>
        <v>30</v>
      </c>
      <c r="J457" s="15">
        <f t="shared" si="31"/>
        <v>17.579999999999998</v>
      </c>
    </row>
    <row r="458" spans="1:10" ht="15" customHeight="1" x14ac:dyDescent="0.25">
      <c r="A458" s="13" t="s">
        <v>56</v>
      </c>
      <c r="B458" s="13" t="s">
        <v>54</v>
      </c>
      <c r="C458" s="13" t="s">
        <v>379</v>
      </c>
      <c r="D458" s="13">
        <v>120</v>
      </c>
      <c r="E458" s="13" t="s">
        <v>174</v>
      </c>
      <c r="F458" s="13">
        <f t="shared" si="28"/>
        <v>120</v>
      </c>
      <c r="G458" s="14">
        <f>IFERROR(INDEX('4. Master Ingredient Inventory'!$I$2:$I$109,MATCH($C458,'4. Master Ingredient Inventory'!$B$2:$B$109,0)),0)</f>
        <v>0.18</v>
      </c>
      <c r="H458" s="15">
        <f t="shared" si="29"/>
        <v>21.599999999999998</v>
      </c>
      <c r="I458" s="13">
        <f t="shared" si="30"/>
        <v>120</v>
      </c>
      <c r="J458" s="15">
        <f t="shared" si="31"/>
        <v>21.599999999999998</v>
      </c>
    </row>
    <row r="459" spans="1:10" ht="15" customHeight="1" x14ac:dyDescent="0.25">
      <c r="A459" s="13" t="s">
        <v>56</v>
      </c>
      <c r="B459" s="13" t="s">
        <v>54</v>
      </c>
      <c r="C459" s="13" t="s">
        <v>323</v>
      </c>
      <c r="D459" s="13">
        <v>15</v>
      </c>
      <c r="E459" s="13" t="s">
        <v>163</v>
      </c>
      <c r="F459" s="13">
        <f t="shared" si="28"/>
        <v>15</v>
      </c>
      <c r="G459" s="14">
        <f>IFERROR(INDEX('4. Master Ingredient Inventory'!$I$2:$I$109,MATCH($C459,'4. Master Ingredient Inventory'!$B$2:$B$109,0)),0)</f>
        <v>0.09</v>
      </c>
      <c r="H459" s="15">
        <f t="shared" si="29"/>
        <v>1.3499999999999999</v>
      </c>
      <c r="I459" s="13">
        <f t="shared" si="30"/>
        <v>15</v>
      </c>
      <c r="J459" s="15">
        <f t="shared" si="31"/>
        <v>1.3499999999999999</v>
      </c>
    </row>
    <row r="460" spans="1:10" ht="15" customHeight="1" x14ac:dyDescent="0.25">
      <c r="A460" s="13" t="s">
        <v>57</v>
      </c>
      <c r="B460" s="13" t="s">
        <v>58</v>
      </c>
      <c r="C460" s="13" t="s">
        <v>293</v>
      </c>
      <c r="D460" s="13">
        <v>3</v>
      </c>
      <c r="E460" s="13" t="s">
        <v>702</v>
      </c>
      <c r="F460" s="13">
        <f t="shared" si="28"/>
        <v>3</v>
      </c>
      <c r="G460" s="14">
        <f>IFERROR(INDEX('4. Master Ingredient Inventory'!$I$2:$I$109,MATCH($C460,'4. Master Ingredient Inventory'!$B$2:$B$109,0)),0)</f>
        <v>13.77</v>
      </c>
      <c r="H460" s="15">
        <f t="shared" si="29"/>
        <v>41.31</v>
      </c>
      <c r="I460" s="13">
        <f t="shared" si="30"/>
        <v>3</v>
      </c>
      <c r="J460" s="15">
        <f t="shared" si="31"/>
        <v>41.31</v>
      </c>
    </row>
    <row r="461" spans="1:10" ht="15" customHeight="1" x14ac:dyDescent="0.25">
      <c r="A461" s="13" t="s">
        <v>57</v>
      </c>
      <c r="B461" s="13" t="s">
        <v>58</v>
      </c>
      <c r="C461" s="13" t="s">
        <v>170</v>
      </c>
      <c r="D461" s="13">
        <v>15</v>
      </c>
      <c r="E461" s="13" t="s">
        <v>174</v>
      </c>
      <c r="F461" s="13">
        <f t="shared" si="28"/>
        <v>15</v>
      </c>
      <c r="G461" s="14">
        <f>IFERROR(INDEX('4. Master Ingredient Inventory'!$I$2:$I$109,MATCH($C461,'4. Master Ingredient Inventory'!$B$2:$B$109,0)),0)</f>
        <v>5.8000000000000003E-2</v>
      </c>
      <c r="H461" s="15">
        <f t="shared" si="29"/>
        <v>0.87</v>
      </c>
      <c r="I461" s="13">
        <f t="shared" si="30"/>
        <v>15</v>
      </c>
      <c r="J461" s="15">
        <f t="shared" si="31"/>
        <v>0.87</v>
      </c>
    </row>
    <row r="462" spans="1:10" ht="15" customHeight="1" x14ac:dyDescent="0.25">
      <c r="A462" s="13" t="s">
        <v>57</v>
      </c>
      <c r="B462" s="13" t="s">
        <v>58</v>
      </c>
      <c r="C462" s="13" t="s">
        <v>333</v>
      </c>
      <c r="D462" s="13">
        <v>7.5</v>
      </c>
      <c r="E462" s="13" t="s">
        <v>174</v>
      </c>
      <c r="F462" s="13">
        <f t="shared" si="28"/>
        <v>7.5</v>
      </c>
      <c r="G462" s="14">
        <f>IFERROR(INDEX('4. Master Ingredient Inventory'!$I$2:$I$109,MATCH($C462,'4. Master Ingredient Inventory'!$B$2:$B$109,0)),0)</f>
        <v>7.4999999999999997E-2</v>
      </c>
      <c r="H462" s="15">
        <f t="shared" si="29"/>
        <v>0.5625</v>
      </c>
      <c r="I462" s="13">
        <f t="shared" si="30"/>
        <v>7.5</v>
      </c>
      <c r="J462" s="15">
        <f t="shared" si="31"/>
        <v>0.5625</v>
      </c>
    </row>
    <row r="463" spans="1:10" ht="15" customHeight="1" x14ac:dyDescent="0.25">
      <c r="A463" s="13" t="s">
        <v>57</v>
      </c>
      <c r="B463" s="13" t="s">
        <v>58</v>
      </c>
      <c r="C463" s="13" t="s">
        <v>598</v>
      </c>
      <c r="D463" s="13">
        <v>1</v>
      </c>
      <c r="E463" s="13" t="s">
        <v>174</v>
      </c>
      <c r="F463" s="13">
        <f t="shared" si="28"/>
        <v>1</v>
      </c>
      <c r="G463" s="14">
        <f>IFERROR(INDEX('4. Master Ingredient Inventory'!$I$2:$I$109,MATCH($C463,'4. Master Ingredient Inventory'!$B$2:$B$109,0)),0)</f>
        <v>0.03</v>
      </c>
      <c r="H463" s="15">
        <f t="shared" si="29"/>
        <v>0.03</v>
      </c>
      <c r="I463" s="13">
        <f t="shared" si="30"/>
        <v>1</v>
      </c>
      <c r="J463" s="15">
        <f t="shared" si="31"/>
        <v>0.03</v>
      </c>
    </row>
    <row r="464" spans="1:10" ht="15" customHeight="1" x14ac:dyDescent="0.25">
      <c r="A464" s="13" t="s">
        <v>57</v>
      </c>
      <c r="B464" s="13" t="s">
        <v>58</v>
      </c>
      <c r="C464" s="13" t="s">
        <v>210</v>
      </c>
      <c r="D464" s="13">
        <v>0.25</v>
      </c>
      <c r="E464" s="13" t="s">
        <v>174</v>
      </c>
      <c r="F464" s="13">
        <f t="shared" si="28"/>
        <v>0.25</v>
      </c>
      <c r="G464" s="14">
        <f>IFERROR(INDEX('4. Master Ingredient Inventory'!$I$2:$I$109,MATCH($C464,'4. Master Ingredient Inventory'!$B$2:$B$109,0)),0)</f>
        <v>0.65</v>
      </c>
      <c r="H464" s="15">
        <f t="shared" si="29"/>
        <v>0.16250000000000001</v>
      </c>
      <c r="I464" s="13">
        <f t="shared" si="30"/>
        <v>0.25</v>
      </c>
      <c r="J464" s="15">
        <f t="shared" si="31"/>
        <v>0.16250000000000001</v>
      </c>
    </row>
    <row r="465" spans="1:10" ht="15" customHeight="1" x14ac:dyDescent="0.25">
      <c r="A465" s="13" t="s">
        <v>57</v>
      </c>
      <c r="B465" s="13" t="s">
        <v>58</v>
      </c>
      <c r="C465" s="13" t="s">
        <v>396</v>
      </c>
      <c r="D465" s="13">
        <v>0.5</v>
      </c>
      <c r="E465" s="13" t="s">
        <v>174</v>
      </c>
      <c r="F465" s="13">
        <f t="shared" si="28"/>
        <v>0.5</v>
      </c>
      <c r="G465" s="14">
        <f>IFERROR(INDEX('4. Master Ingredient Inventory'!$I$2:$I$109,MATCH($C465,'4. Master Ingredient Inventory'!$B$2:$B$109,0)),0)</f>
        <v>0.28000000000000003</v>
      </c>
      <c r="H465" s="15">
        <f t="shared" si="29"/>
        <v>0.14000000000000001</v>
      </c>
      <c r="I465" s="13">
        <f t="shared" si="30"/>
        <v>0.5</v>
      </c>
      <c r="J465" s="15">
        <f t="shared" si="31"/>
        <v>0.14000000000000001</v>
      </c>
    </row>
    <row r="466" spans="1:10" ht="15" customHeight="1" x14ac:dyDescent="0.25">
      <c r="A466" s="13" t="s">
        <v>57</v>
      </c>
      <c r="B466" s="13" t="s">
        <v>58</v>
      </c>
      <c r="C466" s="13" t="s">
        <v>532</v>
      </c>
      <c r="D466" s="13">
        <v>0.5</v>
      </c>
      <c r="E466" s="13" t="s">
        <v>174</v>
      </c>
      <c r="F466" s="13">
        <f t="shared" si="28"/>
        <v>0.5</v>
      </c>
      <c r="G466" s="14">
        <f>IFERROR(INDEX('4. Master Ingredient Inventory'!$I$2:$I$109,MATCH($C466,'4. Master Ingredient Inventory'!$B$2:$B$109,0)),0)</f>
        <v>0.6</v>
      </c>
      <c r="H466" s="15">
        <f t="shared" si="29"/>
        <v>0.3</v>
      </c>
      <c r="I466" s="13">
        <f t="shared" si="30"/>
        <v>0.5</v>
      </c>
      <c r="J466" s="15">
        <f t="shared" si="31"/>
        <v>0.3</v>
      </c>
    </row>
    <row r="467" spans="1:10" ht="15" customHeight="1" x14ac:dyDescent="0.25">
      <c r="A467" s="13" t="s">
        <v>57</v>
      </c>
      <c r="B467" s="13" t="s">
        <v>58</v>
      </c>
      <c r="C467" s="13" t="s">
        <v>323</v>
      </c>
      <c r="D467" s="13">
        <f>3*$T$1</f>
        <v>15</v>
      </c>
      <c r="E467" s="13" t="s">
        <v>163</v>
      </c>
      <c r="F467" s="13">
        <f t="shared" si="28"/>
        <v>15</v>
      </c>
      <c r="G467" s="14">
        <f>IFERROR(INDEX('4. Master Ingredient Inventory'!$I$2:$I$109,MATCH($C467,'4. Master Ingredient Inventory'!$B$2:$B$109,0)),0)</f>
        <v>0.09</v>
      </c>
      <c r="H467" s="15">
        <f t="shared" si="29"/>
        <v>1.3499999999999999</v>
      </c>
      <c r="I467" s="13">
        <f t="shared" si="30"/>
        <v>15</v>
      </c>
      <c r="J467" s="15">
        <f t="shared" si="31"/>
        <v>1.3499999999999999</v>
      </c>
    </row>
    <row r="468" spans="1:10" ht="15" customHeight="1" x14ac:dyDescent="0.25">
      <c r="A468" s="13" t="s">
        <v>57</v>
      </c>
      <c r="B468" s="13" t="s">
        <v>58</v>
      </c>
      <c r="C468" s="13" t="s">
        <v>675</v>
      </c>
      <c r="D468" s="13">
        <v>15</v>
      </c>
      <c r="E468" s="13" t="s">
        <v>174</v>
      </c>
      <c r="F468" s="13">
        <f t="shared" si="28"/>
        <v>15</v>
      </c>
      <c r="G468" s="14">
        <f>IFERROR(INDEX('4. Master Ingredient Inventory'!$I$2:$I$109,MATCH($C468,'4. Master Ingredient Inventory'!$B$2:$B$109,0)),0)</f>
        <v>0.58599999999999997</v>
      </c>
      <c r="H468" s="15">
        <f t="shared" si="29"/>
        <v>8.7899999999999991</v>
      </c>
      <c r="I468" s="13">
        <f t="shared" si="30"/>
        <v>15</v>
      </c>
      <c r="J468" s="15">
        <f t="shared" si="31"/>
        <v>8.7899999999999991</v>
      </c>
    </row>
    <row r="469" spans="1:10" ht="15" customHeight="1" x14ac:dyDescent="0.25">
      <c r="A469" s="13" t="s">
        <v>57</v>
      </c>
      <c r="B469" s="13" t="s">
        <v>58</v>
      </c>
      <c r="C469" s="13" t="s">
        <v>316</v>
      </c>
      <c r="D469" s="13">
        <v>150</v>
      </c>
      <c r="E469" s="13" t="s">
        <v>174</v>
      </c>
      <c r="F469" s="13">
        <f t="shared" si="28"/>
        <v>150</v>
      </c>
      <c r="G469" s="14">
        <f>IFERROR(INDEX('4. Master Ingredient Inventory'!$I$2:$I$109,MATCH($C469,'4. Master Ingredient Inventory'!$B$2:$B$109,0)),0)</f>
        <v>4.8000000000000001E-2</v>
      </c>
      <c r="H469" s="15">
        <f t="shared" si="29"/>
        <v>7.2</v>
      </c>
      <c r="I469" s="13">
        <f t="shared" si="30"/>
        <v>150</v>
      </c>
      <c r="J469" s="15">
        <f t="shared" si="31"/>
        <v>7.2</v>
      </c>
    </row>
    <row r="470" spans="1:10" ht="15" customHeight="1" x14ac:dyDescent="0.25">
      <c r="A470" s="13" t="s">
        <v>59</v>
      </c>
      <c r="B470" s="13" t="s">
        <v>60</v>
      </c>
      <c r="C470" s="13" t="s">
        <v>590</v>
      </c>
      <c r="D470" s="13">
        <v>120</v>
      </c>
      <c r="E470" s="13" t="s">
        <v>174</v>
      </c>
      <c r="F470" s="13">
        <f t="shared" si="28"/>
        <v>120</v>
      </c>
      <c r="G470" s="14">
        <f>IFERROR(INDEX('4. Master Ingredient Inventory'!$I$2:$I$109,MATCH($C470,'4. Master Ingredient Inventory'!$B$2:$B$109,0)),0)</f>
        <v>0.11</v>
      </c>
      <c r="H470" s="15">
        <f t="shared" si="29"/>
        <v>13.2</v>
      </c>
      <c r="I470" s="13">
        <f t="shared" si="30"/>
        <v>120</v>
      </c>
      <c r="J470" s="15">
        <f t="shared" si="31"/>
        <v>13.2</v>
      </c>
    </row>
    <row r="471" spans="1:10" ht="15" customHeight="1" x14ac:dyDescent="0.25">
      <c r="A471" s="13" t="s">
        <v>59</v>
      </c>
      <c r="B471" s="13" t="s">
        <v>60</v>
      </c>
      <c r="C471" s="13" t="s">
        <v>373</v>
      </c>
      <c r="D471" s="13">
        <v>120</v>
      </c>
      <c r="E471" s="13" t="s">
        <v>163</v>
      </c>
      <c r="F471" s="13">
        <f t="shared" si="28"/>
        <v>120</v>
      </c>
      <c r="G471" s="14">
        <f>IFERROR(INDEX('4. Master Ingredient Inventory'!$I$2:$I$109,MATCH($C471,'4. Master Ingredient Inventory'!$B$2:$B$109,0)),0)</f>
        <v>9.5000000000000001E-2</v>
      </c>
      <c r="H471" s="15">
        <f t="shared" si="29"/>
        <v>11.4</v>
      </c>
      <c r="I471" s="13">
        <f t="shared" si="30"/>
        <v>120</v>
      </c>
      <c r="J471" s="15">
        <f t="shared" si="31"/>
        <v>11.4</v>
      </c>
    </row>
    <row r="472" spans="1:10" ht="15" customHeight="1" x14ac:dyDescent="0.25">
      <c r="A472" s="13" t="s">
        <v>59</v>
      </c>
      <c r="B472" s="13" t="s">
        <v>60</v>
      </c>
      <c r="C472" s="13" t="s">
        <v>436</v>
      </c>
      <c r="D472" s="13">
        <v>150</v>
      </c>
      <c r="E472" s="13" t="s">
        <v>174</v>
      </c>
      <c r="F472" s="13">
        <f t="shared" si="28"/>
        <v>150</v>
      </c>
      <c r="G472" s="14">
        <f>IFERROR(INDEX('4. Master Ingredient Inventory'!$I$2:$I$109,MATCH($C472,'4. Master Ingredient Inventory'!$B$2:$B$109,0)),0)</f>
        <v>8.0000000000000002E-3</v>
      </c>
      <c r="H472" s="15">
        <f t="shared" si="29"/>
        <v>1.2</v>
      </c>
      <c r="I472" s="13">
        <f t="shared" si="30"/>
        <v>150</v>
      </c>
      <c r="J472" s="15">
        <f t="shared" si="31"/>
        <v>1.2</v>
      </c>
    </row>
    <row r="473" spans="1:10" ht="15" customHeight="1" x14ac:dyDescent="0.25">
      <c r="A473" s="13" t="s">
        <v>59</v>
      </c>
      <c r="B473" s="13" t="s">
        <v>60</v>
      </c>
      <c r="C473" s="13" t="s">
        <v>671</v>
      </c>
      <c r="D473" s="13">
        <v>15</v>
      </c>
      <c r="E473" s="13" t="s">
        <v>174</v>
      </c>
      <c r="F473" s="13">
        <f t="shared" si="28"/>
        <v>15</v>
      </c>
      <c r="G473" s="14">
        <f>IFERROR(INDEX('4. Master Ingredient Inventory'!$I$2:$I$109,MATCH($C473,'4. Master Ingredient Inventory'!$B$2:$B$109,0)),0)</f>
        <v>8.7999999999999995E-2</v>
      </c>
      <c r="H473" s="15">
        <f t="shared" si="29"/>
        <v>1.3199999999999998</v>
      </c>
      <c r="I473" s="13">
        <f t="shared" si="30"/>
        <v>15</v>
      </c>
      <c r="J473" s="15">
        <f t="shared" si="31"/>
        <v>1.3199999999999998</v>
      </c>
    </row>
    <row r="474" spans="1:10" ht="15" customHeight="1" x14ac:dyDescent="0.25">
      <c r="A474" s="13" t="s">
        <v>61</v>
      </c>
      <c r="B474" s="13" t="s">
        <v>60</v>
      </c>
      <c r="C474" s="13" t="s">
        <v>198</v>
      </c>
      <c r="D474" s="13">
        <v>100</v>
      </c>
      <c r="E474" s="13" t="s">
        <v>174</v>
      </c>
      <c r="F474" s="13">
        <f t="shared" si="28"/>
        <v>100</v>
      </c>
      <c r="G474" s="14">
        <f>IFERROR(INDEX('4. Master Ingredient Inventory'!$I$2:$I$109,MATCH($C474,'4. Master Ingredient Inventory'!$B$2:$B$109,0)),0)</f>
        <v>6.5000000000000002E-2</v>
      </c>
      <c r="H474" s="15">
        <f t="shared" si="29"/>
        <v>6.5</v>
      </c>
      <c r="I474" s="13">
        <f t="shared" si="30"/>
        <v>100</v>
      </c>
      <c r="J474" s="15">
        <f t="shared" si="31"/>
        <v>6.5</v>
      </c>
    </row>
    <row r="475" spans="1:10" ht="15" customHeight="1" x14ac:dyDescent="0.25">
      <c r="A475" s="13" t="s">
        <v>61</v>
      </c>
      <c r="B475" s="13" t="s">
        <v>60</v>
      </c>
      <c r="C475" s="13" t="s">
        <v>373</v>
      </c>
      <c r="D475" s="13">
        <v>180</v>
      </c>
      <c r="E475" s="13" t="s">
        <v>163</v>
      </c>
      <c r="F475" s="13">
        <f t="shared" si="28"/>
        <v>180</v>
      </c>
      <c r="G475" s="14">
        <f>IFERROR(INDEX('4. Master Ingredient Inventory'!$I$2:$I$109,MATCH($C475,'4. Master Ingredient Inventory'!$B$2:$B$109,0)),0)</f>
        <v>9.5000000000000001E-2</v>
      </c>
      <c r="H475" s="15">
        <f t="shared" si="29"/>
        <v>17.100000000000001</v>
      </c>
      <c r="I475" s="13">
        <f t="shared" si="30"/>
        <v>180</v>
      </c>
      <c r="J475" s="15">
        <f t="shared" si="31"/>
        <v>17.100000000000001</v>
      </c>
    </row>
    <row r="476" spans="1:10" ht="15" customHeight="1" x14ac:dyDescent="0.25">
      <c r="A476" s="13" t="s">
        <v>61</v>
      </c>
      <c r="B476" s="13" t="s">
        <v>60</v>
      </c>
      <c r="C476" s="13" t="s">
        <v>436</v>
      </c>
      <c r="D476" s="13">
        <v>120</v>
      </c>
      <c r="E476" s="13" t="s">
        <v>174</v>
      </c>
      <c r="F476" s="13">
        <f t="shared" si="28"/>
        <v>120</v>
      </c>
      <c r="G476" s="14">
        <f>IFERROR(INDEX('4. Master Ingredient Inventory'!$I$2:$I$109,MATCH($C476,'4. Master Ingredient Inventory'!$B$2:$B$109,0)),0)</f>
        <v>8.0000000000000002E-3</v>
      </c>
      <c r="H476" s="15">
        <f t="shared" si="29"/>
        <v>0.96</v>
      </c>
      <c r="I476" s="13">
        <f t="shared" si="30"/>
        <v>120</v>
      </c>
      <c r="J476" s="15">
        <f t="shared" si="31"/>
        <v>0.96</v>
      </c>
    </row>
    <row r="477" spans="1:10" ht="15" customHeight="1" x14ac:dyDescent="0.25">
      <c r="A477" s="13" t="s">
        <v>61</v>
      </c>
      <c r="B477" s="13" t="s">
        <v>60</v>
      </c>
      <c r="C477" s="13" t="s">
        <v>671</v>
      </c>
      <c r="D477" s="13">
        <v>10</v>
      </c>
      <c r="E477" s="13" t="s">
        <v>174</v>
      </c>
      <c r="F477" s="13">
        <f t="shared" si="28"/>
        <v>10</v>
      </c>
      <c r="G477" s="14">
        <f>IFERROR(INDEX('4. Master Ingredient Inventory'!$I$2:$I$109,MATCH($C477,'4. Master Ingredient Inventory'!$B$2:$B$109,0)),0)</f>
        <v>8.7999999999999995E-2</v>
      </c>
      <c r="H477" s="15">
        <f t="shared" si="29"/>
        <v>0.87999999999999989</v>
      </c>
      <c r="I477" s="13">
        <f t="shared" si="30"/>
        <v>10</v>
      </c>
      <c r="J477" s="15">
        <f t="shared" si="31"/>
        <v>0.87999999999999989</v>
      </c>
    </row>
    <row r="478" spans="1:10" ht="15" customHeight="1" x14ac:dyDescent="0.25">
      <c r="A478" s="13" t="s">
        <v>62</v>
      </c>
      <c r="B478" s="13" t="s">
        <v>60</v>
      </c>
      <c r="C478" s="13" t="s">
        <v>226</v>
      </c>
      <c r="D478" s="13">
        <v>30</v>
      </c>
      <c r="E478" s="13" t="s">
        <v>163</v>
      </c>
      <c r="F478" s="13">
        <f t="shared" si="28"/>
        <v>30</v>
      </c>
      <c r="G478" s="14">
        <f>IFERROR(INDEX('4. Master Ingredient Inventory'!$I$2:$I$109,MATCH($C478,'4. Master Ingredient Inventory'!$B$2:$B$109,0)),0)</f>
        <v>0.45</v>
      </c>
      <c r="H478" s="15">
        <f t="shared" si="29"/>
        <v>13.5</v>
      </c>
      <c r="I478" s="13">
        <f t="shared" si="30"/>
        <v>30</v>
      </c>
      <c r="J478" s="15">
        <f t="shared" si="31"/>
        <v>13.5</v>
      </c>
    </row>
    <row r="479" spans="1:10" ht="15" customHeight="1" x14ac:dyDescent="0.25">
      <c r="A479" s="13" t="s">
        <v>62</v>
      </c>
      <c r="B479" s="13" t="s">
        <v>60</v>
      </c>
      <c r="C479" s="13" t="s">
        <v>558</v>
      </c>
      <c r="D479" s="13">
        <v>120</v>
      </c>
      <c r="E479" s="13" t="s">
        <v>174</v>
      </c>
      <c r="F479" s="13">
        <f t="shared" si="28"/>
        <v>120</v>
      </c>
      <c r="G479" s="14">
        <f>IFERROR(INDEX('4. Master Ingredient Inventory'!$I$2:$I$109,MATCH($C479,'4. Master Ingredient Inventory'!$B$2:$B$109,0)),0)</f>
        <v>0.28000000000000003</v>
      </c>
      <c r="H479" s="15">
        <f t="shared" si="29"/>
        <v>33.6</v>
      </c>
      <c r="I479" s="13">
        <f t="shared" si="30"/>
        <v>120</v>
      </c>
      <c r="J479" s="15">
        <f t="shared" si="31"/>
        <v>33.6</v>
      </c>
    </row>
    <row r="480" spans="1:10" ht="15" customHeight="1" x14ac:dyDescent="0.25">
      <c r="A480" s="13" t="s">
        <v>62</v>
      </c>
      <c r="B480" s="13" t="s">
        <v>60</v>
      </c>
      <c r="C480" s="13" t="s">
        <v>373</v>
      </c>
      <c r="D480" s="13">
        <v>80</v>
      </c>
      <c r="E480" s="13" t="s">
        <v>163</v>
      </c>
      <c r="F480" s="13">
        <f t="shared" si="28"/>
        <v>80</v>
      </c>
      <c r="G480" s="14">
        <f>IFERROR(INDEX('4. Master Ingredient Inventory'!$I$2:$I$109,MATCH($C480,'4. Master Ingredient Inventory'!$B$2:$B$109,0)),0)</f>
        <v>9.5000000000000001E-2</v>
      </c>
      <c r="H480" s="15">
        <f t="shared" si="29"/>
        <v>7.6</v>
      </c>
      <c r="I480" s="13">
        <f t="shared" si="30"/>
        <v>80</v>
      </c>
      <c r="J480" s="15">
        <f t="shared" si="31"/>
        <v>7.6</v>
      </c>
    </row>
    <row r="481" spans="1:10" ht="15" customHeight="1" x14ac:dyDescent="0.25">
      <c r="A481" s="13" t="s">
        <v>62</v>
      </c>
      <c r="B481" s="13" t="s">
        <v>60</v>
      </c>
      <c r="C481" s="13" t="s">
        <v>436</v>
      </c>
      <c r="D481" s="13">
        <v>120</v>
      </c>
      <c r="E481" s="13" t="s">
        <v>174</v>
      </c>
      <c r="F481" s="13">
        <f t="shared" si="28"/>
        <v>120</v>
      </c>
      <c r="G481" s="14">
        <f>IFERROR(INDEX('4. Master Ingredient Inventory'!$I$2:$I$109,MATCH($C481,'4. Master Ingredient Inventory'!$B$2:$B$109,0)),0)</f>
        <v>8.0000000000000002E-3</v>
      </c>
      <c r="H481" s="15">
        <f t="shared" si="29"/>
        <v>0.96</v>
      </c>
      <c r="I481" s="13">
        <f t="shared" si="30"/>
        <v>120</v>
      </c>
      <c r="J481" s="15">
        <f t="shared" si="31"/>
        <v>0.96</v>
      </c>
    </row>
    <row r="482" spans="1:10" ht="15" customHeight="1" x14ac:dyDescent="0.25">
      <c r="A482" s="13" t="s">
        <v>62</v>
      </c>
      <c r="B482" s="13" t="s">
        <v>60</v>
      </c>
      <c r="C482" s="13" t="s">
        <v>671</v>
      </c>
      <c r="D482" s="13">
        <v>5</v>
      </c>
      <c r="E482" s="13" t="s">
        <v>174</v>
      </c>
      <c r="F482" s="13">
        <f t="shared" si="28"/>
        <v>5</v>
      </c>
      <c r="G482" s="14">
        <f>IFERROR(INDEX('4. Master Ingredient Inventory'!$I$2:$I$109,MATCH($C482,'4. Master Ingredient Inventory'!$B$2:$B$109,0)),0)</f>
        <v>8.7999999999999995E-2</v>
      </c>
      <c r="H482" s="15">
        <f t="shared" si="29"/>
        <v>0.43999999999999995</v>
      </c>
      <c r="I482" s="13">
        <f t="shared" si="30"/>
        <v>5</v>
      </c>
      <c r="J482" s="15">
        <f t="shared" si="31"/>
        <v>0.43999999999999995</v>
      </c>
    </row>
    <row r="483" spans="1:10" x14ac:dyDescent="0.25">
      <c r="A483" t="s">
        <v>67</v>
      </c>
      <c r="B483" t="s">
        <v>54</v>
      </c>
      <c r="C483" t="s">
        <v>293</v>
      </c>
      <c r="D483">
        <v>36</v>
      </c>
      <c r="E483" t="s">
        <v>702</v>
      </c>
      <c r="F483">
        <f t="shared" si="28"/>
        <v>36</v>
      </c>
      <c r="G483">
        <f>IFERROR(INDEX('4. Master Ingredient Inventory'!$I$2:$I$108,MATCH($C483,'4. Master Ingredient Inventory'!$B$2:$B$108,0)),0)</f>
        <v>13.77</v>
      </c>
      <c r="H483">
        <f t="shared" si="29"/>
        <v>495.71999999999997</v>
      </c>
      <c r="I483">
        <f t="shared" si="30"/>
        <v>36</v>
      </c>
      <c r="J483">
        <f t="shared" si="31"/>
        <v>495.71999999999997</v>
      </c>
    </row>
    <row r="484" spans="1:10" x14ac:dyDescent="0.25">
      <c r="A484" t="s">
        <v>67</v>
      </c>
      <c r="B484" t="s">
        <v>54</v>
      </c>
      <c r="C484" t="s">
        <v>170</v>
      </c>
      <c r="D484">
        <v>180</v>
      </c>
      <c r="E484" t="s">
        <v>174</v>
      </c>
      <c r="F484">
        <f t="shared" si="28"/>
        <v>180</v>
      </c>
      <c r="G484">
        <f>IFERROR(INDEX('4. Master Ingredient Inventory'!$I$2:$I$108,MATCH($C484,'4. Master Ingredient Inventory'!$B$2:$B$108,0)),0)</f>
        <v>5.8000000000000003E-2</v>
      </c>
      <c r="H484">
        <f t="shared" si="29"/>
        <v>10.440000000000001</v>
      </c>
      <c r="I484">
        <f t="shared" si="30"/>
        <v>180</v>
      </c>
      <c r="J484">
        <f t="shared" si="31"/>
        <v>10.440000000000001</v>
      </c>
    </row>
    <row r="485" spans="1:10" x14ac:dyDescent="0.25">
      <c r="A485" t="s">
        <v>67</v>
      </c>
      <c r="B485" t="s">
        <v>54</v>
      </c>
      <c r="C485" t="s">
        <v>333</v>
      </c>
      <c r="D485">
        <v>90</v>
      </c>
      <c r="E485" t="s">
        <v>174</v>
      </c>
      <c r="F485">
        <f t="shared" si="28"/>
        <v>90</v>
      </c>
      <c r="G485">
        <f>IFERROR(INDEX('4. Master Ingredient Inventory'!$I$2:$I$108,MATCH($C485,'4. Master Ingredient Inventory'!$B$2:$B$108,0)),0)</f>
        <v>7.4999999999999997E-2</v>
      </c>
      <c r="H485">
        <f t="shared" si="29"/>
        <v>6.75</v>
      </c>
      <c r="I485">
        <f t="shared" si="30"/>
        <v>90</v>
      </c>
      <c r="J485">
        <f t="shared" si="31"/>
        <v>6.75</v>
      </c>
    </row>
    <row r="486" spans="1:10" x14ac:dyDescent="0.25">
      <c r="A486" t="s">
        <v>67</v>
      </c>
      <c r="B486" t="s">
        <v>54</v>
      </c>
      <c r="C486" t="s">
        <v>598</v>
      </c>
      <c r="D486">
        <v>12</v>
      </c>
      <c r="E486" t="s">
        <v>174</v>
      </c>
      <c r="F486">
        <f t="shared" si="28"/>
        <v>12</v>
      </c>
      <c r="G486">
        <f>IFERROR(INDEX('4. Master Ingredient Inventory'!$I$2:$I$108,MATCH($C486,'4. Master Ingredient Inventory'!$B$2:$B$108,0)),0)</f>
        <v>0.03</v>
      </c>
      <c r="H486">
        <f t="shared" si="29"/>
        <v>0.36</v>
      </c>
      <c r="I486">
        <f t="shared" si="30"/>
        <v>12</v>
      </c>
      <c r="J486">
        <f t="shared" si="31"/>
        <v>0.36</v>
      </c>
    </row>
    <row r="487" spans="1:10" x14ac:dyDescent="0.25">
      <c r="A487" t="s">
        <v>67</v>
      </c>
      <c r="B487" t="s">
        <v>54</v>
      </c>
      <c r="C487" t="s">
        <v>210</v>
      </c>
      <c r="D487">
        <v>3</v>
      </c>
      <c r="E487" t="s">
        <v>174</v>
      </c>
      <c r="F487">
        <f t="shared" si="28"/>
        <v>3</v>
      </c>
      <c r="G487">
        <f>IFERROR(INDEX('4. Master Ingredient Inventory'!$I$2:$I$108,MATCH($C487,'4. Master Ingredient Inventory'!$B$2:$B$108,0)),0)</f>
        <v>0.65</v>
      </c>
      <c r="H487">
        <f t="shared" si="29"/>
        <v>1.9500000000000002</v>
      </c>
      <c r="I487">
        <f t="shared" si="30"/>
        <v>3</v>
      </c>
      <c r="J487">
        <f t="shared" si="31"/>
        <v>1.9500000000000002</v>
      </c>
    </row>
    <row r="488" spans="1:10" x14ac:dyDescent="0.25">
      <c r="A488" t="s">
        <v>67</v>
      </c>
      <c r="B488" t="s">
        <v>54</v>
      </c>
      <c r="C488" t="s">
        <v>396</v>
      </c>
      <c r="D488">
        <v>6</v>
      </c>
      <c r="E488" t="s">
        <v>174</v>
      </c>
      <c r="F488">
        <f t="shared" si="28"/>
        <v>6</v>
      </c>
      <c r="G488">
        <f>IFERROR(INDEX('4. Master Ingredient Inventory'!$I$2:$I$108,MATCH($C488,'4. Master Ingredient Inventory'!$B$2:$B$108,0)),0)</f>
        <v>0.28000000000000003</v>
      </c>
      <c r="H488">
        <f t="shared" si="29"/>
        <v>1.6800000000000002</v>
      </c>
      <c r="I488">
        <f t="shared" si="30"/>
        <v>6</v>
      </c>
      <c r="J488">
        <f t="shared" si="31"/>
        <v>1.6800000000000002</v>
      </c>
    </row>
    <row r="489" spans="1:10" x14ac:dyDescent="0.25">
      <c r="A489" t="s">
        <v>67</v>
      </c>
      <c r="B489" t="s">
        <v>54</v>
      </c>
      <c r="C489" t="s">
        <v>532</v>
      </c>
      <c r="D489">
        <v>6</v>
      </c>
      <c r="E489" t="s">
        <v>174</v>
      </c>
      <c r="F489">
        <f t="shared" si="28"/>
        <v>6</v>
      </c>
      <c r="G489">
        <f>IFERROR(INDEX('4. Master Ingredient Inventory'!$I$2:$I$108,MATCH($C489,'4. Master Ingredient Inventory'!$B$2:$B$108,0)),0)</f>
        <v>0.6</v>
      </c>
      <c r="H489">
        <f t="shared" si="29"/>
        <v>3.5999999999999996</v>
      </c>
      <c r="I489">
        <f t="shared" si="30"/>
        <v>6</v>
      </c>
      <c r="J489">
        <f t="shared" si="31"/>
        <v>3.5999999999999996</v>
      </c>
    </row>
    <row r="490" spans="1:10" x14ac:dyDescent="0.25">
      <c r="A490" t="s">
        <v>67</v>
      </c>
      <c r="B490" t="s">
        <v>54</v>
      </c>
      <c r="C490" t="s">
        <v>323</v>
      </c>
      <c r="D490">
        <f>36*$T$1</f>
        <v>180</v>
      </c>
      <c r="E490" t="s">
        <v>163</v>
      </c>
      <c r="F490">
        <f t="shared" si="28"/>
        <v>180</v>
      </c>
      <c r="G490">
        <f>IFERROR(INDEX('4. Master Ingredient Inventory'!$I$2:$I$108,MATCH($C490,'4. Master Ingredient Inventory'!$B$2:$B$108,0)),0)</f>
        <v>0.09</v>
      </c>
      <c r="H490">
        <f t="shared" si="29"/>
        <v>16.2</v>
      </c>
      <c r="I490">
        <f t="shared" si="30"/>
        <v>14.4</v>
      </c>
      <c r="J490">
        <f t="shared" si="31"/>
        <v>1.296</v>
      </c>
    </row>
    <row r="491" spans="1:10" x14ac:dyDescent="0.25">
      <c r="A491" t="s">
        <v>67</v>
      </c>
      <c r="B491" t="s">
        <v>54</v>
      </c>
      <c r="C491" t="s">
        <v>675</v>
      </c>
      <c r="D491">
        <v>180</v>
      </c>
      <c r="E491" t="s">
        <v>174</v>
      </c>
      <c r="F491">
        <f t="shared" si="28"/>
        <v>180</v>
      </c>
      <c r="G491">
        <f>IFERROR(INDEX('4. Master Ingredient Inventory'!$I$2:$I$108,MATCH($C491,'4. Master Ingredient Inventory'!$B$2:$B$108,0)),0)</f>
        <v>0.58599999999999997</v>
      </c>
      <c r="H491">
        <f t="shared" si="29"/>
        <v>105.47999999999999</v>
      </c>
      <c r="I491">
        <f t="shared" si="30"/>
        <v>180</v>
      </c>
      <c r="J491">
        <f t="shared" si="31"/>
        <v>105.47999999999999</v>
      </c>
    </row>
    <row r="492" spans="1:10" x14ac:dyDescent="0.25">
      <c r="A492" t="s">
        <v>67</v>
      </c>
      <c r="B492" t="s">
        <v>54</v>
      </c>
      <c r="C492" t="s">
        <v>379</v>
      </c>
      <c r="D492">
        <v>720</v>
      </c>
      <c r="E492" t="s">
        <v>174</v>
      </c>
      <c r="F492">
        <f t="shared" si="28"/>
        <v>720</v>
      </c>
      <c r="G492">
        <f>IFERROR(INDEX('4. Master Ingredient Inventory'!$I$2:$I$108,MATCH($C492,'4. Master Ingredient Inventory'!$B$2:$B$108,0)),0)</f>
        <v>0.18</v>
      </c>
      <c r="H492">
        <f t="shared" si="29"/>
        <v>129.6</v>
      </c>
      <c r="I492">
        <f t="shared" si="30"/>
        <v>720</v>
      </c>
      <c r="J492">
        <f t="shared" si="31"/>
        <v>129.6</v>
      </c>
    </row>
    <row r="493" spans="1:10" x14ac:dyDescent="0.25">
      <c r="A493" t="s">
        <v>67</v>
      </c>
      <c r="B493" t="s">
        <v>54</v>
      </c>
      <c r="C493" t="s">
        <v>323</v>
      </c>
      <c r="D493">
        <v>90</v>
      </c>
      <c r="E493" t="s">
        <v>163</v>
      </c>
      <c r="F493">
        <f t="shared" si="28"/>
        <v>90</v>
      </c>
      <c r="G493">
        <f>IFERROR(INDEX('4. Master Ingredient Inventory'!$I$2:$I$108,MATCH($C493,'4. Master Ingredient Inventory'!$B$2:$B$108,0)),0)</f>
        <v>0.09</v>
      </c>
      <c r="H493">
        <f t="shared" si="29"/>
        <v>8.1</v>
      </c>
      <c r="I493">
        <f t="shared" si="30"/>
        <v>90</v>
      </c>
      <c r="J493">
        <f t="shared" si="31"/>
        <v>8.1</v>
      </c>
    </row>
  </sheetData>
  <autoFilter ref="A3:J482" xr:uid="{00000000-0009-0000-0000-000005000000}"/>
  <mergeCells count="2">
    <mergeCell ref="M1:R1"/>
    <mergeCell ref="U1:Z1"/>
  </mergeCells>
  <pageMargins left="0.4" right="0.4" top="0.5" bottom="0.5" header="0.511811023622047" footer="0.5"/>
  <pageSetup fitToHeight="0" orientation="landscape" horizontalDpi="300" verticalDpi="300"/>
  <headerFooter>
    <oddFooter>&amp;CPage &amp;P of &amp;N&amp;RWings Theory -- Menu Ingredient Audit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A227"/>
    <pageSetUpPr fitToPage="1"/>
  </sheetPr>
  <dimension ref="A1:G49"/>
  <sheetViews>
    <sheetView showGridLines="0" zoomScaleNormal="100" workbookViewId="0">
      <pane ySplit="1" topLeftCell="A19" activePane="bottomLeft" state="frozen"/>
      <selection pane="bottomLeft" activeCell="I36" sqref="I36"/>
    </sheetView>
  </sheetViews>
  <sheetFormatPr defaultColWidth="8.7109375" defaultRowHeight="15" x14ac:dyDescent="0.25"/>
  <cols>
    <col min="1" max="1" width="40" customWidth="1"/>
    <col min="2" max="2" width="26" customWidth="1"/>
    <col min="3" max="3" width="18" customWidth="1"/>
    <col min="4" max="5" width="24" customWidth="1"/>
    <col min="6" max="7" width="22" customWidth="1"/>
  </cols>
  <sheetData>
    <row r="1" spans="1:7" ht="33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customHeight="1" x14ac:dyDescent="0.25">
      <c r="A2" s="13" t="s">
        <v>7</v>
      </c>
      <c r="B2" s="13" t="s">
        <v>8</v>
      </c>
      <c r="C2" s="15">
        <v>399</v>
      </c>
      <c r="D2" s="15">
        <f>SUMIF('6. Menu-to-Ingredient Mapping'!$A:$A,$A2,'6. Menu-to-Ingredient Mapping'!$H:$H)</f>
        <v>56.090000000000011</v>
      </c>
      <c r="E2" s="15">
        <f>SUMIF('6. Menu-to-Ingredient Mapping'!$A:$A,$A2,'6. Menu-to-Ingredient Mapping'!$J:$J)</f>
        <v>56.090000000000011</v>
      </c>
      <c r="F2" s="16">
        <f t="shared" ref="F2:F48" si="0">$D2/$C2</f>
        <v>0.14057644110275691</v>
      </c>
      <c r="G2" s="16">
        <f t="shared" ref="G2:G48" si="1">$E2/$C2</f>
        <v>0.14057644110275691</v>
      </c>
    </row>
    <row r="3" spans="1:7" ht="15" customHeight="1" x14ac:dyDescent="0.25">
      <c r="A3" s="13" t="s">
        <v>9</v>
      </c>
      <c r="B3" s="13" t="s">
        <v>8</v>
      </c>
      <c r="C3" s="15">
        <v>399</v>
      </c>
      <c r="D3" s="15">
        <f>SUMIF('6. Menu-to-Ingredient Mapping'!$A:$A,$A3,'6. Menu-to-Ingredient Mapping'!$H:$H)</f>
        <v>55.650000000000013</v>
      </c>
      <c r="E3" s="15">
        <f>SUMIF('6. Menu-to-Ingredient Mapping'!$A:$A,$A3,'6. Menu-to-Ingredient Mapping'!$J:$J)</f>
        <v>55.650000000000013</v>
      </c>
      <c r="F3" s="16">
        <f t="shared" si="0"/>
        <v>0.13947368421052636</v>
      </c>
      <c r="G3" s="16">
        <f t="shared" si="1"/>
        <v>0.13947368421052636</v>
      </c>
    </row>
    <row r="4" spans="1:7" ht="15" customHeight="1" x14ac:dyDescent="0.25">
      <c r="A4" s="13" t="s">
        <v>10</v>
      </c>
      <c r="B4" s="13" t="s">
        <v>8</v>
      </c>
      <c r="C4" s="15">
        <v>399</v>
      </c>
      <c r="D4" s="15">
        <f>SUMIF('6. Menu-to-Ingredient Mapping'!$A:$A,$A4,'6. Menu-to-Ingredient Mapping'!$H:$H)</f>
        <v>62.044297297297305</v>
      </c>
      <c r="E4" s="15">
        <f>SUMIF('6. Menu-to-Ingredient Mapping'!$A:$A,$A4,'6. Menu-to-Ingredient Mapping'!$J:$J)</f>
        <v>62.044297297297305</v>
      </c>
      <c r="F4" s="16">
        <f t="shared" si="0"/>
        <v>0.1554994919731762</v>
      </c>
      <c r="G4" s="16">
        <f t="shared" si="1"/>
        <v>0.1554994919731762</v>
      </c>
    </row>
    <row r="5" spans="1:7" ht="15" customHeight="1" x14ac:dyDescent="0.25">
      <c r="A5" s="13" t="s">
        <v>11</v>
      </c>
      <c r="B5" s="13" t="s">
        <v>8</v>
      </c>
      <c r="C5" s="15">
        <v>399</v>
      </c>
      <c r="D5" s="15">
        <f>SUMIF('6. Menu-to-Ingredient Mapping'!$A:$A,$A5,'6. Menu-to-Ingredient Mapping'!$H:$H)</f>
        <v>53.035000000000018</v>
      </c>
      <c r="E5" s="15">
        <f>SUMIF('6. Menu-to-Ingredient Mapping'!$A:$A,$A5,'6. Menu-to-Ingredient Mapping'!$J:$J)</f>
        <v>53.035000000000018</v>
      </c>
      <c r="F5" s="16">
        <f t="shared" si="0"/>
        <v>0.13291979949874691</v>
      </c>
      <c r="G5" s="16">
        <f t="shared" si="1"/>
        <v>0.13291979949874691</v>
      </c>
    </row>
    <row r="6" spans="1:7" ht="15" customHeight="1" x14ac:dyDescent="0.25">
      <c r="A6" s="13" t="s">
        <v>12</v>
      </c>
      <c r="B6" s="13" t="s">
        <v>8</v>
      </c>
      <c r="C6" s="15">
        <v>399</v>
      </c>
      <c r="D6" s="15">
        <f>SUMIF('6. Menu-to-Ingredient Mapping'!$A:$A,$A6,'6. Menu-to-Ingredient Mapping'!$H:$H)</f>
        <v>45.865000000000009</v>
      </c>
      <c r="E6" s="15">
        <f>SUMIF('6. Menu-to-Ingredient Mapping'!$A:$A,$A6,'6. Menu-to-Ingredient Mapping'!$J:$J)</f>
        <v>45.865000000000009</v>
      </c>
      <c r="F6" s="16">
        <f t="shared" si="0"/>
        <v>0.11494987468671682</v>
      </c>
      <c r="G6" s="16">
        <f t="shared" si="1"/>
        <v>0.11494987468671682</v>
      </c>
    </row>
    <row r="7" spans="1:7" ht="15" customHeight="1" x14ac:dyDescent="0.25">
      <c r="A7" s="13" t="s">
        <v>13</v>
      </c>
      <c r="B7" s="13" t="s">
        <v>8</v>
      </c>
      <c r="C7" s="15">
        <v>399</v>
      </c>
      <c r="D7" s="15">
        <f>SUMIF('6. Menu-to-Ingredient Mapping'!$A:$A,$A7,'6. Menu-to-Ingredient Mapping'!$H:$H)</f>
        <v>55.767500000000013</v>
      </c>
      <c r="E7" s="15">
        <f>SUMIF('6. Menu-to-Ingredient Mapping'!$A:$A,$A7,'6. Menu-to-Ingredient Mapping'!$J:$J)</f>
        <v>55.767500000000013</v>
      </c>
      <c r="F7" s="16">
        <f t="shared" si="0"/>
        <v>0.13976817042606521</v>
      </c>
      <c r="G7" s="16">
        <f t="shared" si="1"/>
        <v>0.13976817042606521</v>
      </c>
    </row>
    <row r="8" spans="1:7" ht="15" customHeight="1" x14ac:dyDescent="0.25">
      <c r="A8" s="13" t="s">
        <v>14</v>
      </c>
      <c r="B8" s="13" t="s">
        <v>8</v>
      </c>
      <c r="C8" s="15">
        <v>399</v>
      </c>
      <c r="D8" s="15">
        <f>SUMIF('6. Menu-to-Ingredient Mapping'!$A:$A,$A8,'6. Menu-to-Ingredient Mapping'!$H:$H)</f>
        <v>59.393333333333345</v>
      </c>
      <c r="E8" s="15">
        <f>SUMIF('6. Menu-to-Ingredient Mapping'!$A:$A,$A8,'6. Menu-to-Ingredient Mapping'!$J:$J)</f>
        <v>59.393333333333345</v>
      </c>
      <c r="F8" s="16">
        <f t="shared" si="0"/>
        <v>0.14885547201336677</v>
      </c>
      <c r="G8" s="16">
        <f t="shared" si="1"/>
        <v>0.14885547201336677</v>
      </c>
    </row>
    <row r="9" spans="1:7" ht="15" customHeight="1" x14ac:dyDescent="0.25">
      <c r="A9" s="13" t="s">
        <v>15</v>
      </c>
      <c r="B9" s="13" t="s">
        <v>8</v>
      </c>
      <c r="C9" s="15">
        <v>399</v>
      </c>
      <c r="D9" s="15">
        <f>SUMIF('6. Menu-to-Ingredient Mapping'!$A:$A,$A9,'6. Menu-to-Ingredient Mapping'!$H:$H)</f>
        <v>52.728500000000011</v>
      </c>
      <c r="E9" s="15">
        <f>SUMIF('6. Menu-to-Ingredient Mapping'!$A:$A,$A9,'6. Menu-to-Ingredient Mapping'!$J:$J)</f>
        <v>52.728500000000011</v>
      </c>
      <c r="F9" s="16">
        <f t="shared" si="0"/>
        <v>0.13215162907268174</v>
      </c>
      <c r="G9" s="16">
        <f t="shared" si="1"/>
        <v>0.13215162907268174</v>
      </c>
    </row>
    <row r="10" spans="1:7" ht="15" customHeight="1" x14ac:dyDescent="0.25">
      <c r="A10" s="13" t="s">
        <v>16</v>
      </c>
      <c r="B10" s="13" t="s">
        <v>8</v>
      </c>
      <c r="C10" s="15">
        <v>399</v>
      </c>
      <c r="D10" s="15">
        <f>SUMIF('6. Menu-to-Ingredient Mapping'!$A:$A,$A10,'6. Menu-to-Ingredient Mapping'!$H:$H)</f>
        <v>49.629500000000007</v>
      </c>
      <c r="E10" s="15">
        <f>SUMIF('6. Menu-to-Ingredient Mapping'!$A:$A,$A10,'6. Menu-to-Ingredient Mapping'!$J:$J)</f>
        <v>49.629500000000007</v>
      </c>
      <c r="F10" s="16">
        <f t="shared" si="0"/>
        <v>0.12438471177944864</v>
      </c>
      <c r="G10" s="16">
        <f t="shared" si="1"/>
        <v>0.12438471177944864</v>
      </c>
    </row>
    <row r="11" spans="1:7" ht="15" customHeight="1" x14ac:dyDescent="0.25">
      <c r="A11" s="13" t="s">
        <v>17</v>
      </c>
      <c r="B11" s="13" t="s">
        <v>8</v>
      </c>
      <c r="C11" s="15">
        <v>399</v>
      </c>
      <c r="D11" s="15">
        <f>SUMIF('6. Menu-to-Ingredient Mapping'!$A:$A,$A11,'6. Menu-to-Ingredient Mapping'!$H:$H)</f>
        <v>54.905000000000008</v>
      </c>
      <c r="E11" s="15">
        <f>SUMIF('6. Menu-to-Ingredient Mapping'!$A:$A,$A11,'6. Menu-to-Ingredient Mapping'!$J:$J)</f>
        <v>54.905000000000008</v>
      </c>
      <c r="F11" s="16">
        <f t="shared" si="0"/>
        <v>0.13760651629072684</v>
      </c>
      <c r="G11" s="16">
        <f t="shared" si="1"/>
        <v>0.13760651629072684</v>
      </c>
    </row>
    <row r="12" spans="1:7" ht="15" customHeight="1" x14ac:dyDescent="0.25">
      <c r="A12" s="13" t="s">
        <v>18</v>
      </c>
      <c r="B12" s="13" t="s">
        <v>19</v>
      </c>
      <c r="C12" s="15">
        <v>429</v>
      </c>
      <c r="D12" s="15">
        <f>SUMIF('6. Menu-to-Ingredient Mapping'!$A:$A,$A12,'6. Menu-to-Ingredient Mapping'!$H:$H)</f>
        <v>55.017500000000005</v>
      </c>
      <c r="E12" s="15">
        <f>SUMIF('6. Menu-to-Ingredient Mapping'!$A:$A,$A12,'6. Menu-to-Ingredient Mapping'!$J:$J)</f>
        <v>55.017500000000005</v>
      </c>
      <c r="F12" s="16">
        <f t="shared" si="0"/>
        <v>0.12824592074592076</v>
      </c>
      <c r="G12" s="16">
        <f t="shared" si="1"/>
        <v>0.12824592074592076</v>
      </c>
    </row>
    <row r="13" spans="1:7" ht="15" customHeight="1" x14ac:dyDescent="0.25">
      <c r="A13" s="13" t="s">
        <v>20</v>
      </c>
      <c r="B13" s="13" t="s">
        <v>19</v>
      </c>
      <c r="C13" s="15">
        <v>414</v>
      </c>
      <c r="D13" s="15">
        <f>SUMIF('6. Menu-to-Ingredient Mapping'!$A:$A,$A13,'6. Menu-to-Ingredient Mapping'!$H:$H)</f>
        <v>50.024500000000003</v>
      </c>
      <c r="E13" s="15">
        <f>SUMIF('6. Menu-to-Ingredient Mapping'!$A:$A,$A13,'6. Menu-to-Ingredient Mapping'!$J:$J)</f>
        <v>50.024500000000003</v>
      </c>
      <c r="F13" s="16">
        <f t="shared" si="0"/>
        <v>0.12083212560386475</v>
      </c>
      <c r="G13" s="16">
        <f t="shared" si="1"/>
        <v>0.12083212560386475</v>
      </c>
    </row>
    <row r="14" spans="1:7" ht="15" customHeight="1" x14ac:dyDescent="0.25">
      <c r="A14" s="13" t="s">
        <v>21</v>
      </c>
      <c r="B14" s="13" t="s">
        <v>19</v>
      </c>
      <c r="C14" s="15">
        <v>419</v>
      </c>
      <c r="D14" s="15">
        <f>SUMIF('6. Menu-to-Ingredient Mapping'!$A:$A,$A14,'6. Menu-to-Ingredient Mapping'!$H:$H)</f>
        <v>54.417500000000004</v>
      </c>
      <c r="E14" s="15">
        <f>SUMIF('6. Menu-to-Ingredient Mapping'!$A:$A,$A14,'6. Menu-to-Ingredient Mapping'!$J:$J)</f>
        <v>54.417500000000004</v>
      </c>
      <c r="F14" s="16">
        <f t="shared" si="0"/>
        <v>0.12987470167064441</v>
      </c>
      <c r="G14" s="16">
        <f t="shared" si="1"/>
        <v>0.12987470167064441</v>
      </c>
    </row>
    <row r="15" spans="1:7" ht="15" customHeight="1" x14ac:dyDescent="0.25">
      <c r="A15" s="13" t="s">
        <v>22</v>
      </c>
      <c r="B15" s="13" t="s">
        <v>19</v>
      </c>
      <c r="C15" s="15">
        <v>429</v>
      </c>
      <c r="D15" s="15">
        <f>SUMIF('6. Menu-to-Ingredient Mapping'!$A:$A,$A15,'6. Menu-to-Ingredient Mapping'!$H:$H)</f>
        <v>58.650000000000013</v>
      </c>
      <c r="E15" s="15">
        <f>SUMIF('6. Menu-to-Ingredient Mapping'!$A:$A,$A15,'6. Menu-to-Ingredient Mapping'!$J:$J)</f>
        <v>58.650000000000013</v>
      </c>
      <c r="F15" s="16">
        <f t="shared" si="0"/>
        <v>0.13671328671328675</v>
      </c>
      <c r="G15" s="16">
        <f t="shared" si="1"/>
        <v>0.13671328671328675</v>
      </c>
    </row>
    <row r="16" spans="1:7" ht="15" customHeight="1" x14ac:dyDescent="0.25">
      <c r="A16" s="13" t="s">
        <v>23</v>
      </c>
      <c r="B16" s="13" t="s">
        <v>24</v>
      </c>
      <c r="C16" s="15">
        <v>220</v>
      </c>
      <c r="D16" s="15">
        <f>SUMIF('6. Menu-to-Ingredient Mapping'!$A:$A,$A16,'6. Menu-to-Ingredient Mapping'!$H:$H)</f>
        <v>74.260000000000005</v>
      </c>
      <c r="E16" s="15">
        <f>SUMIF('6. Menu-to-Ingredient Mapping'!$A:$A,$A16,'6. Menu-to-Ingredient Mapping'!$J:$J)</f>
        <v>74.260000000000005</v>
      </c>
      <c r="F16" s="16">
        <f t="shared" si="0"/>
        <v>0.33754545454545459</v>
      </c>
      <c r="G16" s="16">
        <f t="shared" si="1"/>
        <v>0.33754545454545459</v>
      </c>
    </row>
    <row r="17" spans="1:7" ht="15" customHeight="1" x14ac:dyDescent="0.25">
      <c r="A17" s="13" t="s">
        <v>25</v>
      </c>
      <c r="B17" s="13" t="s">
        <v>24</v>
      </c>
      <c r="C17" s="15">
        <v>220</v>
      </c>
      <c r="D17" s="15">
        <f>SUMIF('6. Menu-to-Ingredient Mapping'!$A:$A,$A17,'6. Menu-to-Ingredient Mapping'!$H:$H)</f>
        <v>77.603888888888889</v>
      </c>
      <c r="E17" s="15">
        <f>SUMIF('6. Menu-to-Ingredient Mapping'!$A:$A,$A17,'6. Menu-to-Ingredient Mapping'!$J:$J)</f>
        <v>77.603888888888889</v>
      </c>
      <c r="F17" s="16">
        <f t="shared" si="0"/>
        <v>0.3527449494949495</v>
      </c>
      <c r="G17" s="16">
        <f t="shared" si="1"/>
        <v>0.3527449494949495</v>
      </c>
    </row>
    <row r="18" spans="1:7" ht="15" customHeight="1" x14ac:dyDescent="0.25">
      <c r="A18" s="13" t="s">
        <v>26</v>
      </c>
      <c r="B18" s="13" t="s">
        <v>24</v>
      </c>
      <c r="C18" s="15">
        <v>190</v>
      </c>
      <c r="D18" s="15">
        <f>SUMIF('6. Menu-to-Ingredient Mapping'!$A:$A,$A18,'6. Menu-to-Ingredient Mapping'!$H:$H)</f>
        <v>85.484999999999999</v>
      </c>
      <c r="E18" s="15">
        <f>SUMIF('6. Menu-to-Ingredient Mapping'!$A:$A,$A18,'6. Menu-to-Ingredient Mapping'!$J:$J)</f>
        <v>85.484999999999999</v>
      </c>
      <c r="F18" s="16">
        <f t="shared" si="0"/>
        <v>0.44992105263157894</v>
      </c>
      <c r="G18" s="16">
        <f t="shared" si="1"/>
        <v>0.44992105263157894</v>
      </c>
    </row>
    <row r="19" spans="1:7" ht="15" customHeight="1" x14ac:dyDescent="0.25">
      <c r="A19" s="13" t="s">
        <v>27</v>
      </c>
      <c r="B19" s="13" t="s">
        <v>28</v>
      </c>
      <c r="C19" s="15">
        <v>149</v>
      </c>
      <c r="D19" s="15">
        <f>SUMIF('6. Menu-to-Ingredient Mapping'!$A:$A,$A19,'6. Menu-to-Ingredient Mapping'!$H:$H)</f>
        <v>113.38500000000001</v>
      </c>
      <c r="E19" s="15">
        <f>SUMIF('6. Menu-to-Ingredient Mapping'!$A:$A,$A19,'6. Menu-to-Ingredient Mapping'!$J:$J)</f>
        <v>92.684999999999988</v>
      </c>
      <c r="F19" s="16">
        <f t="shared" si="0"/>
        <v>0.76097315436241619</v>
      </c>
      <c r="G19" s="16">
        <f t="shared" si="1"/>
        <v>0.62204697986577173</v>
      </c>
    </row>
    <row r="20" spans="1:7" ht="15" customHeight="1" x14ac:dyDescent="0.25">
      <c r="A20" s="13" t="s">
        <v>29</v>
      </c>
      <c r="B20" s="13" t="s">
        <v>28</v>
      </c>
      <c r="C20" s="15">
        <v>139</v>
      </c>
      <c r="D20" s="15">
        <f>SUMIF('6. Menu-to-Ingredient Mapping'!$A:$A,$A20,'6. Menu-to-Ingredient Mapping'!$H:$H)</f>
        <v>65.470666666666659</v>
      </c>
      <c r="E20" s="15">
        <f>SUMIF('6. Menu-to-Ingredient Mapping'!$A:$A,$A20,'6. Menu-to-Ingredient Mapping'!$J:$J)</f>
        <v>65.470666666666659</v>
      </c>
      <c r="F20" s="16">
        <f t="shared" si="0"/>
        <v>0.47101199040767383</v>
      </c>
      <c r="G20" s="16">
        <f t="shared" si="1"/>
        <v>0.47101199040767383</v>
      </c>
    </row>
    <row r="21" spans="1:7" ht="15" customHeight="1" x14ac:dyDescent="0.25">
      <c r="A21" s="13" t="s">
        <v>30</v>
      </c>
      <c r="B21" s="13" t="s">
        <v>28</v>
      </c>
      <c r="C21" s="15">
        <v>149</v>
      </c>
      <c r="D21" s="15">
        <f>SUMIF('6. Menu-to-Ingredient Mapping'!$A:$A,$A21,'6. Menu-to-Ingredient Mapping'!$H:$H)</f>
        <v>107.21166666666669</v>
      </c>
      <c r="E21" s="15">
        <f>SUMIF('6. Menu-to-Ingredient Mapping'!$A:$A,$A21,'6. Menu-to-Ingredient Mapping'!$J:$J)</f>
        <v>107.21166666666669</v>
      </c>
      <c r="F21" s="16">
        <f t="shared" si="0"/>
        <v>0.71954138702460868</v>
      </c>
      <c r="G21" s="16">
        <f t="shared" si="1"/>
        <v>0.71954138702460868</v>
      </c>
    </row>
    <row r="22" spans="1:7" ht="15" customHeight="1" x14ac:dyDescent="0.25">
      <c r="A22" s="13" t="s">
        <v>31</v>
      </c>
      <c r="B22" s="13" t="s">
        <v>32</v>
      </c>
      <c r="C22" s="15">
        <v>159</v>
      </c>
      <c r="D22" s="15">
        <f>SUMIF('6. Menu-to-Ingredient Mapping'!$A:$A,$A22,'6. Menu-to-Ingredient Mapping'!$H:$H)</f>
        <v>116.605</v>
      </c>
      <c r="E22" s="15">
        <f>SUMIF('6. Menu-to-Ingredient Mapping'!$A:$A,$A22,'6. Menu-to-Ingredient Mapping'!$J:$J)</f>
        <v>91.765000000000015</v>
      </c>
      <c r="F22" s="16">
        <f t="shared" si="0"/>
        <v>0.73336477987421389</v>
      </c>
      <c r="G22" s="16">
        <f t="shared" si="1"/>
        <v>0.57713836477987435</v>
      </c>
    </row>
    <row r="23" spans="1:7" ht="15" customHeight="1" x14ac:dyDescent="0.25">
      <c r="A23" s="13" t="s">
        <v>33</v>
      </c>
      <c r="B23" s="13" t="s">
        <v>32</v>
      </c>
      <c r="C23" s="15">
        <v>179</v>
      </c>
      <c r="D23" s="15">
        <f>SUMIF('6. Menu-to-Ingredient Mapping'!$A:$A,$A23,'6. Menu-to-Ingredient Mapping'!$H:$H)</f>
        <v>100.51</v>
      </c>
      <c r="E23" s="15">
        <f>SUMIF('6. Menu-to-Ingredient Mapping'!$A:$A,$A23,'6. Menu-to-Ingredient Mapping'!$J:$J)</f>
        <v>75.67</v>
      </c>
      <c r="F23" s="16">
        <f t="shared" si="0"/>
        <v>0.56150837988826818</v>
      </c>
      <c r="G23" s="16">
        <f t="shared" si="1"/>
        <v>0.42273743016759779</v>
      </c>
    </row>
    <row r="24" spans="1:7" ht="15" customHeight="1" x14ac:dyDescent="0.25">
      <c r="A24" s="13" t="s">
        <v>34</v>
      </c>
      <c r="B24" s="13" t="s">
        <v>35</v>
      </c>
      <c r="C24" s="15">
        <v>159</v>
      </c>
      <c r="D24" s="15">
        <f>SUMIF('6. Menu-to-Ingredient Mapping'!$A:$A,$A24,'6. Menu-to-Ingredient Mapping'!$H:$H)</f>
        <v>77.150000000000006</v>
      </c>
      <c r="E24" s="15">
        <f>SUMIF('6. Menu-to-Ingredient Mapping'!$A:$A,$A24,'6. Menu-to-Ingredient Mapping'!$J:$J)</f>
        <v>77.150000000000006</v>
      </c>
      <c r="F24" s="16">
        <f t="shared" si="0"/>
        <v>0.48522012578616358</v>
      </c>
      <c r="G24" s="16">
        <f t="shared" si="1"/>
        <v>0.48522012578616358</v>
      </c>
    </row>
    <row r="25" spans="1:7" ht="15" customHeight="1" x14ac:dyDescent="0.25">
      <c r="A25" s="13" t="s">
        <v>36</v>
      </c>
      <c r="B25" s="13" t="s">
        <v>35</v>
      </c>
      <c r="C25" s="15">
        <v>149</v>
      </c>
      <c r="D25" s="15">
        <f>SUMIF('6. Menu-to-Ingredient Mapping'!$A:$A,$A25,'6. Menu-to-Ingredient Mapping'!$H:$H)</f>
        <v>62.720000000000006</v>
      </c>
      <c r="E25" s="15">
        <f>SUMIF('6. Menu-to-Ingredient Mapping'!$A:$A,$A25,'6. Menu-to-Ingredient Mapping'!$J:$J)</f>
        <v>62.720000000000006</v>
      </c>
      <c r="F25" s="16">
        <f t="shared" si="0"/>
        <v>0.42093959731543629</v>
      </c>
      <c r="G25" s="16">
        <f t="shared" si="1"/>
        <v>0.42093959731543629</v>
      </c>
    </row>
    <row r="26" spans="1:7" ht="15" customHeight="1" x14ac:dyDescent="0.25">
      <c r="A26" s="13" t="s">
        <v>37</v>
      </c>
      <c r="B26" s="13" t="s">
        <v>35</v>
      </c>
      <c r="C26" s="15">
        <v>149</v>
      </c>
      <c r="D26" s="15">
        <f>SUMIF('6. Menu-to-Ingredient Mapping'!$A:$A,$A26,'6. Menu-to-Ingredient Mapping'!$H:$H)</f>
        <v>58.330000000000013</v>
      </c>
      <c r="E26" s="15">
        <f>SUMIF('6. Menu-to-Ingredient Mapping'!$A:$A,$A26,'6. Menu-to-Ingredient Mapping'!$J:$J)</f>
        <v>58.330000000000013</v>
      </c>
      <c r="F26" s="16">
        <f t="shared" si="0"/>
        <v>0.3914765100671142</v>
      </c>
      <c r="G26" s="16">
        <f t="shared" si="1"/>
        <v>0.3914765100671142</v>
      </c>
    </row>
    <row r="27" spans="1:7" ht="15" customHeight="1" x14ac:dyDescent="0.25">
      <c r="A27" s="13" t="s">
        <v>38</v>
      </c>
      <c r="B27" s="13" t="s">
        <v>35</v>
      </c>
      <c r="C27" s="15">
        <v>139</v>
      </c>
      <c r="D27" s="15">
        <f>SUMIF('6. Menu-to-Ingredient Mapping'!$A:$A,$A27,'6. Menu-to-Ingredient Mapping'!$H:$H)</f>
        <v>84.681764705882358</v>
      </c>
      <c r="E27" s="15">
        <f>SUMIF('6. Menu-to-Ingredient Mapping'!$A:$A,$A27,'6. Menu-to-Ingredient Mapping'!$J:$J)</f>
        <v>84.681764705882358</v>
      </c>
      <c r="F27" s="16">
        <f t="shared" si="0"/>
        <v>0.60922132881929758</v>
      </c>
      <c r="G27" s="16">
        <f t="shared" si="1"/>
        <v>0.60922132881929758</v>
      </c>
    </row>
    <row r="28" spans="1:7" ht="15" customHeight="1" x14ac:dyDescent="0.25">
      <c r="A28" s="13" t="s">
        <v>39</v>
      </c>
      <c r="B28" s="13" t="s">
        <v>35</v>
      </c>
      <c r="C28" s="15">
        <v>139</v>
      </c>
      <c r="D28" s="15">
        <f>SUMIF('6. Menu-to-Ingredient Mapping'!$A:$A,$A28,'6. Menu-to-Ingredient Mapping'!$H:$H)</f>
        <v>60.67</v>
      </c>
      <c r="E28" s="15">
        <f>SUMIF('6. Menu-to-Ingredient Mapping'!$A:$A,$A28,'6. Menu-to-Ingredient Mapping'!$J:$J)</f>
        <v>60.67</v>
      </c>
      <c r="F28" s="16">
        <f t="shared" si="0"/>
        <v>0.43647482014388489</v>
      </c>
      <c r="G28" s="16">
        <f t="shared" si="1"/>
        <v>0.43647482014388489</v>
      </c>
    </row>
    <row r="29" spans="1:7" ht="15" customHeight="1" x14ac:dyDescent="0.25">
      <c r="A29" s="13" t="s">
        <v>40</v>
      </c>
      <c r="B29" s="13" t="s">
        <v>41</v>
      </c>
      <c r="C29" s="15">
        <v>109</v>
      </c>
      <c r="D29" s="15">
        <f>SUMIF('6. Menu-to-Ingredient Mapping'!$A:$A,$A29,'6. Menu-to-Ingredient Mapping'!$H:$H)</f>
        <v>77.150000000000006</v>
      </c>
      <c r="E29" s="15">
        <f>SUMIF('6. Menu-to-Ingredient Mapping'!$A:$A,$A29,'6. Menu-to-Ingredient Mapping'!$J:$J)</f>
        <v>77.150000000000006</v>
      </c>
      <c r="F29" s="16">
        <f t="shared" si="0"/>
        <v>0.70779816513761473</v>
      </c>
      <c r="G29" s="16">
        <f t="shared" si="1"/>
        <v>0.70779816513761473</v>
      </c>
    </row>
    <row r="30" spans="1:7" ht="15" customHeight="1" x14ac:dyDescent="0.25">
      <c r="A30" s="13" t="s">
        <v>42</v>
      </c>
      <c r="B30" s="13" t="s">
        <v>41</v>
      </c>
      <c r="C30" s="15">
        <v>99</v>
      </c>
      <c r="D30" s="15">
        <f>SUMIF('6. Menu-to-Ingredient Mapping'!$A:$A,$A30,'6. Menu-to-Ingredient Mapping'!$H:$H)</f>
        <v>29.810000000000002</v>
      </c>
      <c r="E30" s="15">
        <f>SUMIF('6. Menu-to-Ingredient Mapping'!$A:$A,$A30,'6. Menu-to-Ingredient Mapping'!$J:$J)</f>
        <v>29.810000000000002</v>
      </c>
      <c r="F30" s="16">
        <f t="shared" si="0"/>
        <v>0.30111111111111111</v>
      </c>
      <c r="G30" s="16">
        <f t="shared" si="1"/>
        <v>0.30111111111111111</v>
      </c>
    </row>
    <row r="31" spans="1:7" ht="15" customHeight="1" x14ac:dyDescent="0.25">
      <c r="A31" s="13" t="s">
        <v>43</v>
      </c>
      <c r="B31" s="13" t="s">
        <v>41</v>
      </c>
      <c r="C31" s="15">
        <v>199</v>
      </c>
      <c r="D31" s="15">
        <f>SUMIF('6. Menu-to-Ingredient Mapping'!$A:$A,$A31,'6. Menu-to-Ingredient Mapping'!$H:$H)</f>
        <v>83.29</v>
      </c>
      <c r="E31" s="15">
        <f>SUMIF('6. Menu-to-Ingredient Mapping'!$A:$A,$A31,'6. Menu-to-Ingredient Mapping'!$J:$J)</f>
        <v>83.29</v>
      </c>
      <c r="F31" s="16">
        <f t="shared" si="0"/>
        <v>0.41854271356783923</v>
      </c>
      <c r="G31" s="16">
        <f t="shared" si="1"/>
        <v>0.41854271356783923</v>
      </c>
    </row>
    <row r="32" spans="1:7" ht="15" customHeight="1" x14ac:dyDescent="0.25">
      <c r="A32" s="13" t="s">
        <v>44</v>
      </c>
      <c r="B32" s="13" t="s">
        <v>45</v>
      </c>
      <c r="C32" s="15">
        <v>89</v>
      </c>
      <c r="D32" s="15">
        <f>SUMIF('6. Menu-to-Ingredient Mapping'!$A:$A,$A32,'6. Menu-to-Ingredient Mapping'!$H:$H)</f>
        <v>22.34</v>
      </c>
      <c r="E32" s="15">
        <f>SUMIF('6. Menu-to-Ingredient Mapping'!$A:$A,$A32,'6. Menu-to-Ingredient Mapping'!$J:$J)</f>
        <v>22.34</v>
      </c>
      <c r="F32" s="16">
        <f t="shared" si="0"/>
        <v>0.2510112359550562</v>
      </c>
      <c r="G32" s="16">
        <f t="shared" si="1"/>
        <v>0.2510112359550562</v>
      </c>
    </row>
    <row r="33" spans="1:7" ht="15" customHeight="1" x14ac:dyDescent="0.25">
      <c r="A33" s="13" t="s">
        <v>46</v>
      </c>
      <c r="B33" s="13" t="s">
        <v>45</v>
      </c>
      <c r="C33" s="15">
        <v>39</v>
      </c>
      <c r="D33" s="15">
        <f>SUMIF('6. Menu-to-Ingredient Mapping'!$A:$A,$A33,'6. Menu-to-Ingredient Mapping'!$H:$H)</f>
        <v>7.2</v>
      </c>
      <c r="E33" s="15">
        <f>SUMIF('6. Menu-to-Ingredient Mapping'!$A:$A,$A33,'6. Menu-to-Ingredient Mapping'!$J:$J)</f>
        <v>7.2</v>
      </c>
      <c r="F33" s="16">
        <f t="shared" si="0"/>
        <v>0.18461538461538463</v>
      </c>
      <c r="G33" s="16">
        <f t="shared" si="1"/>
        <v>0.18461538461538463</v>
      </c>
    </row>
    <row r="34" spans="1:7" ht="15" customHeight="1" x14ac:dyDescent="0.25">
      <c r="A34" s="13" t="s">
        <v>47</v>
      </c>
      <c r="B34" s="13" t="s">
        <v>45</v>
      </c>
      <c r="C34" s="15">
        <v>20</v>
      </c>
      <c r="D34" s="15">
        <f>SUMIF('6. Menu-to-Ingredient Mapping'!$A:$A,$A34,'6. Menu-to-Ingredient Mapping'!$H:$H)</f>
        <v>5.3939999999999992</v>
      </c>
      <c r="E34" s="15">
        <f>SUMIF('6. Menu-to-Ingredient Mapping'!$A:$A,$A34,'6. Menu-to-Ingredient Mapping'!$J:$J)</f>
        <v>5.3939999999999992</v>
      </c>
      <c r="F34" s="16">
        <f t="shared" si="0"/>
        <v>0.26969999999999994</v>
      </c>
      <c r="G34" s="16">
        <f t="shared" si="1"/>
        <v>0.26969999999999994</v>
      </c>
    </row>
    <row r="35" spans="1:7" ht="15" customHeight="1" x14ac:dyDescent="0.25">
      <c r="A35" s="13" t="s">
        <v>48</v>
      </c>
      <c r="B35" s="13" t="s">
        <v>49</v>
      </c>
      <c r="C35" s="15">
        <v>60</v>
      </c>
      <c r="D35" s="15">
        <f>SUMIF('6. Menu-to-Ingredient Mapping'!$A:$A,$A35,'6. Menu-to-Ingredient Mapping'!$H:$H)</f>
        <v>38</v>
      </c>
      <c r="E35" s="15">
        <f>SUMIF('6. Menu-to-Ingredient Mapping'!$A:$A,$A35,'6. Menu-to-Ingredient Mapping'!$J:$J)</f>
        <v>38</v>
      </c>
      <c r="F35" s="16">
        <f t="shared" si="0"/>
        <v>0.6333333333333333</v>
      </c>
      <c r="G35" s="16">
        <f t="shared" si="1"/>
        <v>0.6333333333333333</v>
      </c>
    </row>
    <row r="36" spans="1:7" ht="15" customHeight="1" x14ac:dyDescent="0.25">
      <c r="A36" s="13" t="s">
        <v>50</v>
      </c>
      <c r="B36" s="13" t="s">
        <v>49</v>
      </c>
      <c r="C36" s="15">
        <v>60</v>
      </c>
      <c r="D36" s="15">
        <f>SUMIF('6. Menu-to-Ingredient Mapping'!$A:$A,$A36,'6. Menu-to-Ingredient Mapping'!$H:$H)</f>
        <v>38</v>
      </c>
      <c r="E36" s="15">
        <f>SUMIF('6. Menu-to-Ingredient Mapping'!$A:$A,$A36,'6. Menu-to-Ingredient Mapping'!$J:$J)</f>
        <v>38</v>
      </c>
      <c r="F36" s="16">
        <f t="shared" si="0"/>
        <v>0.6333333333333333</v>
      </c>
      <c r="G36" s="16">
        <f t="shared" si="1"/>
        <v>0.6333333333333333</v>
      </c>
    </row>
    <row r="37" spans="1:7" ht="15" customHeight="1" x14ac:dyDescent="0.25">
      <c r="A37" s="13" t="s">
        <v>51</v>
      </c>
      <c r="B37" s="13" t="s">
        <v>49</v>
      </c>
      <c r="C37" s="15">
        <v>60</v>
      </c>
      <c r="D37" s="15">
        <f>SUMIF('6. Menu-to-Ingredient Mapping'!$A:$A,$A37,'6. Menu-to-Ingredient Mapping'!$H:$H)</f>
        <v>38</v>
      </c>
      <c r="E37" s="15">
        <f>SUMIF('6. Menu-to-Ingredient Mapping'!$A:$A,$A37,'6. Menu-to-Ingredient Mapping'!$J:$J)</f>
        <v>38</v>
      </c>
      <c r="F37" s="16">
        <f t="shared" si="0"/>
        <v>0.6333333333333333</v>
      </c>
      <c r="G37" s="16">
        <f t="shared" si="1"/>
        <v>0.6333333333333333</v>
      </c>
    </row>
    <row r="38" spans="1:7" ht="15" customHeight="1" x14ac:dyDescent="0.25">
      <c r="A38" s="13" t="s">
        <v>52</v>
      </c>
      <c r="B38" s="13" t="s">
        <v>49</v>
      </c>
      <c r="C38" s="15">
        <v>60</v>
      </c>
      <c r="D38" s="15">
        <f>SUMIF('6. Menu-to-Ingredient Mapping'!$A:$A,$A38,'6. Menu-to-Ingredient Mapping'!$H:$H)</f>
        <v>38</v>
      </c>
      <c r="E38" s="15">
        <f>SUMIF('6. Menu-to-Ingredient Mapping'!$A:$A,$A38,'6. Menu-to-Ingredient Mapping'!$J:$J)</f>
        <v>38</v>
      </c>
      <c r="F38" s="16">
        <f t="shared" si="0"/>
        <v>0.6333333333333333</v>
      </c>
      <c r="G38" s="16">
        <f t="shared" si="1"/>
        <v>0.6333333333333333</v>
      </c>
    </row>
    <row r="39" spans="1:7" ht="15" customHeight="1" x14ac:dyDescent="0.25">
      <c r="A39" s="13" t="s">
        <v>53</v>
      </c>
      <c r="B39" s="13" t="s">
        <v>54</v>
      </c>
      <c r="C39" s="15">
        <v>339</v>
      </c>
      <c r="D39" s="15">
        <f>SUMIF('6. Menu-to-Ingredient Mapping'!$A:$A,$A39,'6. Menu-to-Ingredient Mapping'!$H:$H)</f>
        <v>184.26399999999995</v>
      </c>
      <c r="E39" s="15">
        <f>SUMIF('6. Menu-to-Ingredient Mapping'!$A:$A,$A39,'6. Menu-to-Ingredient Mapping'!$J:$J)</f>
        <v>184.26399999999995</v>
      </c>
      <c r="F39" s="16">
        <f t="shared" si="0"/>
        <v>0.54355162241887889</v>
      </c>
      <c r="G39" s="16">
        <f t="shared" si="1"/>
        <v>0.54355162241887889</v>
      </c>
    </row>
    <row r="40" spans="1:7" ht="15" customHeight="1" x14ac:dyDescent="0.25">
      <c r="A40" s="13" t="s">
        <v>55</v>
      </c>
      <c r="B40" s="13" t="s">
        <v>54</v>
      </c>
      <c r="C40" s="15">
        <v>299</v>
      </c>
      <c r="D40" s="15">
        <f>SUMIF('6. Menu-to-Ingredient Mapping'!$A:$A,$A40,'6. Menu-to-Ingredient Mapping'!$H:$H)</f>
        <v>135.03687499999998</v>
      </c>
      <c r="E40" s="15">
        <f>SUMIF('6. Menu-to-Ingredient Mapping'!$A:$A,$A40,'6. Menu-to-Ingredient Mapping'!$J:$J)</f>
        <v>135.03687499999998</v>
      </c>
      <c r="F40" s="16">
        <f t="shared" si="0"/>
        <v>0.45162834448160527</v>
      </c>
      <c r="G40" s="16">
        <f t="shared" si="1"/>
        <v>0.45162834448160527</v>
      </c>
    </row>
    <row r="41" spans="1:7" ht="15" customHeight="1" x14ac:dyDescent="0.25">
      <c r="A41" s="13" t="s">
        <v>56</v>
      </c>
      <c r="B41" s="13" t="s">
        <v>54</v>
      </c>
      <c r="C41" s="15">
        <v>219</v>
      </c>
      <c r="D41" s="15">
        <f>SUMIF('6. Menu-to-Ingredient Mapping'!$A:$A,$A41,'6. Menu-to-Ingredient Mapping'!$H:$H)</f>
        <v>129.97999999999999</v>
      </c>
      <c r="E41" s="15">
        <f>SUMIF('6. Menu-to-Ingredient Mapping'!$A:$A,$A41,'6. Menu-to-Ingredient Mapping'!$J:$J)</f>
        <v>129.97999999999999</v>
      </c>
      <c r="F41" s="16">
        <f t="shared" si="0"/>
        <v>0.59351598173515974</v>
      </c>
      <c r="G41" s="16">
        <f t="shared" si="1"/>
        <v>0.59351598173515974</v>
      </c>
    </row>
    <row r="42" spans="1:7" ht="15" customHeight="1" x14ac:dyDescent="0.25">
      <c r="A42" s="13" t="s">
        <v>57</v>
      </c>
      <c r="B42" s="13" t="s">
        <v>58</v>
      </c>
      <c r="C42" s="15">
        <v>99</v>
      </c>
      <c r="D42" s="15">
        <f>SUMIF('6. Menu-to-Ingredient Mapping'!$A:$A,$A42,'6. Menu-to-Ingredient Mapping'!$H:$H)</f>
        <v>60.715000000000003</v>
      </c>
      <c r="E42" s="15">
        <f>SUMIF('6. Menu-to-Ingredient Mapping'!$A:$A,$A42,'6. Menu-to-Ingredient Mapping'!$J:$J)</f>
        <v>60.715000000000003</v>
      </c>
      <c r="F42" s="16">
        <f t="shared" si="0"/>
        <v>0.61328282828282832</v>
      </c>
      <c r="G42" s="16">
        <f t="shared" si="1"/>
        <v>0.61328282828282832</v>
      </c>
    </row>
    <row r="43" spans="1:7" ht="15" customHeight="1" x14ac:dyDescent="0.25">
      <c r="A43" s="13" t="s">
        <v>59</v>
      </c>
      <c r="B43" s="13" t="s">
        <v>60</v>
      </c>
      <c r="C43" s="15">
        <v>60</v>
      </c>
      <c r="D43" s="15">
        <f>SUMIF('6. Menu-to-Ingredient Mapping'!$A:$A,$A43,'6. Menu-to-Ingredient Mapping'!$H:$H)</f>
        <v>27.12</v>
      </c>
      <c r="E43" s="15">
        <f>SUMIF('6. Menu-to-Ingredient Mapping'!$A:$A,$A43,'6. Menu-to-Ingredient Mapping'!$J:$J)</f>
        <v>27.12</v>
      </c>
      <c r="F43" s="16">
        <f t="shared" si="0"/>
        <v>0.45200000000000001</v>
      </c>
      <c r="G43" s="16">
        <f t="shared" si="1"/>
        <v>0.45200000000000001</v>
      </c>
    </row>
    <row r="44" spans="1:7" ht="15" customHeight="1" x14ac:dyDescent="0.25">
      <c r="A44" s="13" t="s">
        <v>61</v>
      </c>
      <c r="B44" s="13" t="s">
        <v>60</v>
      </c>
      <c r="C44" s="15">
        <v>60</v>
      </c>
      <c r="D44" s="15">
        <f>SUMIF('6. Menu-to-Ingredient Mapping'!$A:$A,$A44,'6. Menu-to-Ingredient Mapping'!$H:$H)</f>
        <v>25.44</v>
      </c>
      <c r="E44" s="15">
        <f>SUMIF('6. Menu-to-Ingredient Mapping'!$A:$A,$A44,'6. Menu-to-Ingredient Mapping'!$J:$J)</f>
        <v>25.44</v>
      </c>
      <c r="F44" s="16">
        <f t="shared" si="0"/>
        <v>0.42400000000000004</v>
      </c>
      <c r="G44" s="16">
        <f t="shared" si="1"/>
        <v>0.42400000000000004</v>
      </c>
    </row>
    <row r="45" spans="1:7" ht="15" customHeight="1" x14ac:dyDescent="0.25">
      <c r="A45" s="13" t="s">
        <v>62</v>
      </c>
      <c r="B45" s="13" t="s">
        <v>60</v>
      </c>
      <c r="C45" s="15">
        <v>60</v>
      </c>
      <c r="D45" s="15">
        <f>SUMIF('6. Menu-to-Ingredient Mapping'!$A:$A,$A45,'6. Menu-to-Ingredient Mapping'!$H:$H)</f>
        <v>56.1</v>
      </c>
      <c r="E45" s="15">
        <f>SUMIF('6. Menu-to-Ingredient Mapping'!$A:$A,$A45,'6. Menu-to-Ingredient Mapping'!$J:$J)</f>
        <v>56.1</v>
      </c>
      <c r="F45" s="16">
        <f t="shared" si="0"/>
        <v>0.93500000000000005</v>
      </c>
      <c r="G45" s="16">
        <f t="shared" si="1"/>
        <v>0.93500000000000005</v>
      </c>
    </row>
    <row r="46" spans="1:7" ht="15" customHeight="1" x14ac:dyDescent="0.25">
      <c r="A46" s="13" t="s">
        <v>63</v>
      </c>
      <c r="B46" s="13" t="s">
        <v>64</v>
      </c>
      <c r="C46" s="15">
        <v>30</v>
      </c>
      <c r="D46" s="15">
        <f>SUMIF('6. Menu-to-Ingredient Mapping'!$A:$A,$A46,'6. Menu-to-Ingredient Mapping'!$H:$H)</f>
        <v>0</v>
      </c>
      <c r="E46" s="15">
        <f>SUMIF('6. Menu-to-Ingredient Mapping'!$A:$A,$A46,'6. Menu-to-Ingredient Mapping'!$J:$J)</f>
        <v>0</v>
      </c>
      <c r="F46" s="16">
        <f t="shared" si="0"/>
        <v>0</v>
      </c>
      <c r="G46" s="16">
        <f t="shared" si="1"/>
        <v>0</v>
      </c>
    </row>
    <row r="47" spans="1:7" ht="15" customHeight="1" x14ac:dyDescent="0.25">
      <c r="A47" s="13" t="s">
        <v>65</v>
      </c>
      <c r="B47" s="13" t="s">
        <v>64</v>
      </c>
      <c r="C47" s="15">
        <v>30</v>
      </c>
      <c r="D47" s="15">
        <f>SUMIF('6. Menu-to-Ingredient Mapping'!$A:$A,$A47,'6. Menu-to-Ingredient Mapping'!$H:$H)</f>
        <v>0</v>
      </c>
      <c r="E47" s="15">
        <f>SUMIF('6. Menu-to-Ingredient Mapping'!$A:$A,$A47,'6. Menu-to-Ingredient Mapping'!$J:$J)</f>
        <v>0</v>
      </c>
      <c r="F47" s="16">
        <f t="shared" si="0"/>
        <v>0</v>
      </c>
      <c r="G47" s="16">
        <f t="shared" si="1"/>
        <v>0</v>
      </c>
    </row>
    <row r="48" spans="1:7" ht="15" customHeight="1" x14ac:dyDescent="0.25">
      <c r="A48" s="13" t="s">
        <v>66</v>
      </c>
      <c r="B48" s="13" t="s">
        <v>64</v>
      </c>
      <c r="C48" s="15">
        <v>25</v>
      </c>
      <c r="D48" s="15">
        <f>SUMIF('6. Menu-to-Ingredient Mapping'!$A:$A,$A48,'6. Menu-to-Ingredient Mapping'!$H:$H)</f>
        <v>0</v>
      </c>
      <c r="E48" s="15">
        <f>SUMIF('6. Menu-to-Ingredient Mapping'!$A:$A,$A48,'6. Menu-to-Ingredient Mapping'!$J:$J)</f>
        <v>0</v>
      </c>
      <c r="F48" s="16">
        <f t="shared" si="0"/>
        <v>0</v>
      </c>
      <c r="G48" s="16">
        <f t="shared" si="1"/>
        <v>0</v>
      </c>
    </row>
    <row r="49" spans="1:7" x14ac:dyDescent="0.25">
      <c r="A49" t="s">
        <v>67</v>
      </c>
      <c r="B49" t="s">
        <v>54</v>
      </c>
      <c r="C49" s="15">
        <v>1125</v>
      </c>
      <c r="D49" s="18">
        <f>SUMIF('6. Menu-to-Ingredient Mapping'!$A:$A,$A49,'6. Menu-to-Ingredient Mapping'!$H:$H)</f>
        <v>779.88000000000011</v>
      </c>
      <c r="E49" s="18">
        <f>SUMIF('6. Menu-to-Ingredient Mapping'!$A:$A,$A49,'6. Menu-to-Ingredient Mapping'!$J:$J)</f>
        <v>764.97600000000011</v>
      </c>
      <c r="F49" s="17">
        <f>$D49/$C49</f>
        <v>0.69322666666666677</v>
      </c>
      <c r="G49" s="17">
        <f>$E49/$C49</f>
        <v>0.67997866666666673</v>
      </c>
    </row>
  </sheetData>
  <autoFilter ref="A1:G48" xr:uid="{00000000-0009-0000-0000-000006000000}"/>
  <pageMargins left="0.4" right="0.4" top="0.5" bottom="0.5" header="0.511811023622047" footer="0.5"/>
  <pageSetup fitToHeight="0" orientation="landscape" horizontalDpi="300" verticalDpi="300"/>
  <headerFooter>
    <oddFooter>&amp;CPage &amp;P of &amp;N&amp;RWings Theory -- Menu Ingredient Audit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1. Menu Audit</vt:lpstr>
      <vt:lpstr>3. Standardized Recipes</vt:lpstr>
      <vt:lpstr>4. Master Ingredient Inventory</vt:lpstr>
      <vt:lpstr>6. Menu-to-Ingredient Mapping</vt:lpstr>
      <vt:lpstr>7. Ingredient &amp; Recipe Costing</vt:lpstr>
      <vt:lpstr>'1. Menu Audit'!Print_Titles</vt:lpstr>
      <vt:lpstr>'3. Standardized Recipes'!Print_Titles</vt:lpstr>
      <vt:lpstr>'4. Master Ingredient Inventory'!Print_Titles</vt:lpstr>
      <vt:lpstr>'6. Menu-to-Ingredient Mapping'!Print_Titles</vt:lpstr>
      <vt:lpstr>'7. Ingredient &amp; Recipe Costing'!Print_Titles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Wings Theory -- Menu &amp; Ingredient Audit</dc:title>
  <dc:subject>Complete Menu-to-Ingredient Cross-Reference, Recipe Validation &amp; Inventory/Costing Refinement</dc:subject>
  <dc:creator>Wings Theory Capstone Project</dc:creator>
  <dc:description>Recipe-level menu audit, standardized ingredient inventory, and live SUMIF/INDEX-MATCH costing formulas for Wings Theory. Source of truth for the Supabase schema (wings_theory_supabase.sql) used by the inventory/POS system -- pricing and recipe/inventory data are kept in sync by design.</dc:description>
  <cp:lastModifiedBy>Grace Domrique</cp:lastModifiedBy>
  <cp:revision>0</cp:revision>
  <dcterms:created xsi:type="dcterms:W3CDTF">2026-09-21T14:25:17Z</dcterms:created>
  <dcterms:modified xsi:type="dcterms:W3CDTF">2026-09-28T16:08:48Z</dcterms:modified>
  <cp:category>Food Cost Audit</cp:category>
  <dc:language>en-US</dc:language>
</cp:coreProperties>
</file>